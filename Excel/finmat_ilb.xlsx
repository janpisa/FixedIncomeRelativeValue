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tables/table2.xml" ContentType="application/vnd.openxmlformats-officedocument.spreadsheetml.table+xml"/>
  <Override PartName="/xl/drawings/drawing10.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ThisWorkbook" defaultThemeVersion="202300"/>
  <mc:AlternateContent xmlns:mc="http://schemas.openxmlformats.org/markup-compatibility/2006">
    <mc:Choice Requires="x15">
      <x15ac:absPath xmlns:x15ac="http://schemas.microsoft.com/office/spreadsheetml/2010/11/ac" url="https://vse-my.sharepoint.com/personal/pisj02_vse_cz/Documents/VŠE/Finanční matematika/"/>
    </mc:Choice>
  </mc:AlternateContent>
  <xr:revisionPtr revIDLastSave="3306" documentId="8_{7A44C173-6D95-4236-905E-F27FDB451861}" xr6:coauthVersionLast="47" xr6:coauthVersionMax="47" xr10:uidLastSave="{3A6AF819-5929-4055-8EDC-6FD8E40964D0}"/>
  <bookViews>
    <workbookView xWindow="-110" yWindow="-110" windowWidth="19420" windowHeight="11500" tabRatio="469" activeTab="2" xr2:uid="{20D85BAB-70DE-465B-9AFE-86D399E38D89}"/>
  </bookViews>
  <sheets>
    <sheet name="MENU" sheetId="19" r:id="rId1"/>
    <sheet name="Problem 1" sheetId="14" r:id="rId2"/>
    <sheet name="Solution 1" sheetId="7" r:id="rId3"/>
    <sheet name="coefficient" sheetId="8" r:id="rId4"/>
    <sheet name="Problem 2" sheetId="16" r:id="rId5"/>
    <sheet name="Solution 2" sheetId="5" r:id="rId6"/>
    <sheet name="Problem 3" sheetId="17" r:id="rId7"/>
    <sheet name="Solution 3" sheetId="3" r:id="rId8"/>
    <sheet name="Problem 4" sheetId="18" r:id="rId9"/>
    <sheet name="Solution 4" sheetId="2" r:id="rId10"/>
    <sheet name="coefficient2" sheetId="12" r:id="rId11"/>
    <sheet name="Daňová vsuvka" sheetId="20" r:id="rId12"/>
    <sheet name="Bonds €i" sheetId="11"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5" l="1"/>
  <c r="C72" i="5" s="1"/>
  <c r="J34" i="18"/>
  <c r="C22" i="18"/>
  <c r="C23" i="18" s="1"/>
  <c r="H18" i="17"/>
  <c r="H20" i="17" s="1"/>
  <c r="C18" i="17"/>
  <c r="C20" i="17" s="1"/>
  <c r="C22" i="16"/>
  <c r="C27" i="16" s="1"/>
  <c r="C29" i="14"/>
  <c r="C29" i="7"/>
  <c r="C23" i="14"/>
  <c r="C26" i="14" s="1"/>
  <c r="C22" i="2"/>
  <c r="C35" i="2" s="1"/>
  <c r="D35" i="2"/>
  <c r="E35" i="2"/>
  <c r="F35" i="2"/>
  <c r="G35" i="2"/>
  <c r="H35" i="2"/>
  <c r="I35" i="2"/>
  <c r="J35" i="2"/>
  <c r="J34" i="2"/>
  <c r="D58" i="5"/>
  <c r="C23" i="7"/>
  <c r="C24" i="7" s="1"/>
  <c r="C25" i="7" s="1"/>
  <c r="C30" i="7" s="1"/>
  <c r="H18" i="3"/>
  <c r="H20" i="3" s="1"/>
  <c r="C18" i="3"/>
  <c r="C20" i="3" s="1"/>
  <c r="F29" i="3"/>
  <c r="F27" i="3"/>
  <c r="G56" i="5"/>
  <c r="G55" i="5"/>
  <c r="D55" i="5"/>
  <c r="E55" i="5"/>
  <c r="F55" i="5"/>
  <c r="C55" i="5"/>
  <c r="C38" i="5"/>
  <c r="C40" i="5" s="1"/>
  <c r="E58" i="5"/>
  <c r="F58" i="5"/>
  <c r="G58" i="5"/>
  <c r="D41" i="5"/>
  <c r="D38" i="5"/>
  <c r="D40" i="5" s="1"/>
  <c r="E41" i="5"/>
  <c r="E38" i="5"/>
  <c r="E40" i="5" s="1"/>
  <c r="F41" i="5"/>
  <c r="F38" i="5"/>
  <c r="F40" i="5" s="1"/>
  <c r="G41" i="5"/>
  <c r="G38" i="5"/>
  <c r="G39" i="5"/>
  <c r="C32" i="5" l="1"/>
  <c r="G40" i="5"/>
  <c r="C26" i="7"/>
  <c r="C34" i="7" s="1"/>
  <c r="C23" i="16"/>
  <c r="C24" i="16" s="1"/>
  <c r="C34" i="14"/>
  <c r="C24" i="14"/>
  <c r="C25" i="14" s="1"/>
  <c r="C27" i="18"/>
  <c r="C26" i="18"/>
  <c r="C24" i="18"/>
  <c r="C31" i="7"/>
  <c r="C23" i="2"/>
  <c r="C24" i="2" s="1"/>
  <c r="C27" i="2"/>
  <c r="C41" i="5"/>
  <c r="C58" i="5"/>
  <c r="C28" i="5"/>
  <c r="C29" i="5" s="1"/>
  <c r="C70" i="5" s="1"/>
  <c r="C78" i="5" s="1"/>
  <c r="C36" i="7" l="1"/>
  <c r="C35" i="7"/>
  <c r="C26" i="16"/>
  <c r="C31" i="5"/>
  <c r="C47" i="5" s="1"/>
  <c r="C59" i="5"/>
  <c r="C60" i="5" s="1"/>
  <c r="C42" i="5"/>
  <c r="C26" i="2"/>
  <c r="C36" i="2"/>
  <c r="C85" i="5"/>
  <c r="C87" i="5" s="1"/>
  <c r="D78" i="5"/>
  <c r="G57" i="5"/>
  <c r="D57" i="5"/>
  <c r="E57" i="5"/>
  <c r="F57" i="5"/>
  <c r="C57" i="5"/>
  <c r="D59" i="5" l="1"/>
  <c r="D42" i="5"/>
  <c r="C43" i="5"/>
  <c r="C44" i="5"/>
  <c r="C64" i="5"/>
  <c r="D36" i="2"/>
  <c r="C37" i="2"/>
  <c r="C38" i="2" s="1"/>
  <c r="E42" i="5"/>
  <c r="D43" i="5"/>
  <c r="D44" i="5" s="1"/>
  <c r="E78" i="5"/>
  <c r="D85" i="5"/>
  <c r="D87" i="5" s="1"/>
  <c r="D60" i="5"/>
  <c r="D61" i="5" s="1"/>
  <c r="E59" i="5"/>
  <c r="C61" i="5"/>
  <c r="D37" i="2" l="1"/>
  <c r="D38" i="2" s="1"/>
  <c r="E36" i="2"/>
  <c r="F59" i="5"/>
  <c r="E60" i="5"/>
  <c r="E61" i="5" s="1"/>
  <c r="F78" i="5"/>
  <c r="E85" i="5"/>
  <c r="E87" i="5" s="1"/>
  <c r="E43" i="5"/>
  <c r="E44" i="5" s="1"/>
  <c r="F42" i="5"/>
  <c r="F36" i="2" l="1"/>
  <c r="E37" i="2"/>
  <c r="E38" i="2" s="1"/>
  <c r="F43" i="5"/>
  <c r="F44" i="5" s="1"/>
  <c r="G42" i="5"/>
  <c r="G43" i="5" s="1"/>
  <c r="G44" i="5" s="1"/>
  <c r="C46" i="5" s="1"/>
  <c r="C48" i="5" s="1"/>
  <c r="F85" i="5"/>
  <c r="F87" i="5" s="1"/>
  <c r="G78" i="5"/>
  <c r="F60" i="5"/>
  <c r="F61" i="5" s="1"/>
  <c r="G59" i="5"/>
  <c r="G60" i="5" s="1"/>
  <c r="G61" i="5" s="1"/>
  <c r="G36" i="2" l="1"/>
  <c r="F37" i="2"/>
  <c r="F38" i="2" s="1"/>
  <c r="G85" i="5"/>
  <c r="G86" i="5"/>
  <c r="C63" i="5"/>
  <c r="C65" i="5" s="1"/>
  <c r="G37" i="2" l="1"/>
  <c r="G38" i="2" s="1"/>
  <c r="H36" i="2"/>
  <c r="G87" i="5"/>
  <c r="I36" i="2" l="1"/>
  <c r="H37" i="2"/>
  <c r="H38" i="2" s="1"/>
  <c r="J36" i="2" l="1"/>
  <c r="J37" i="2" s="1"/>
  <c r="J38" i="2" s="1"/>
  <c r="I37" i="2"/>
  <c r="I38" i="2" s="1"/>
  <c r="C40"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64BA3A-D3E3-4235-A638-858AECE8559F}" keepAlive="1" interval="90" name="Query - Table 7" description="Connection to the 'Table 7' query in the workbook." type="5" refreshedVersion="8" background="1" refreshOnLoad="1" saveData="1">
    <dbPr connection="Provider=Microsoft.Mashup.OleDb.1;Data Source=$Workbook$;Location=&quot;Table 7&quot;;Extended Properties=&quot;&quot;" command="SELECT * FROM [Table 7]"/>
  </connection>
</connections>
</file>

<file path=xl/sharedStrings.xml><?xml version="1.0" encoding="utf-8"?>
<sst xmlns="http://schemas.openxmlformats.org/spreadsheetml/2006/main" count="447" uniqueCount="116">
  <si>
    <t>Trade date</t>
  </si>
  <si>
    <t>Settlement date (T2)</t>
  </si>
  <si>
    <t>Real coupon rate</t>
  </si>
  <si>
    <t>ACT/ACT ICMA</t>
  </si>
  <si>
    <t>Face Value</t>
  </si>
  <si>
    <t>Clean Price (real)</t>
  </si>
  <si>
    <t>Inflation coefficient (settlement date)</t>
  </si>
  <si>
    <t>DE0001030559</t>
  </si>
  <si>
    <t>Real yield-to-maturity</t>
  </si>
  <si>
    <t>FR0013327491</t>
  </si>
  <si>
    <t>Germany</t>
  </si>
  <si>
    <t>Maturity</t>
  </si>
  <si>
    <t>France</t>
  </si>
  <si>
    <t>Coupon</t>
  </si>
  <si>
    <t>Principal</t>
  </si>
  <si>
    <t>Date</t>
  </si>
  <si>
    <t>Day count factor</t>
  </si>
  <si>
    <t>Last distribution date</t>
  </si>
  <si>
    <t>Upcoming distribution date</t>
  </si>
  <si>
    <t>Discount factor</t>
  </si>
  <si>
    <t>Present Value</t>
  </si>
  <si>
    <t>Total Payment</t>
  </si>
  <si>
    <t>Dirty Price (real)</t>
  </si>
  <si>
    <t>Day count till next coupon</t>
  </si>
  <si>
    <t>FACTS</t>
  </si>
  <si>
    <t>ISIN</t>
  </si>
  <si>
    <t>Daycount standard</t>
  </si>
  <si>
    <t>Coupon payment frequency</t>
  </si>
  <si>
    <t xml:space="preserve">Annual </t>
  </si>
  <si>
    <t>DATA</t>
  </si>
  <si>
    <t xml:space="preserve">Face Value </t>
  </si>
  <si>
    <t>Accrual period (days)</t>
  </si>
  <si>
    <t>Coefficient</t>
  </si>
  <si>
    <t>Clean Price</t>
  </si>
  <si>
    <t>plus: Accrued Interest</t>
  </si>
  <si>
    <t>Dirty Price</t>
  </si>
  <si>
    <t xml:space="preserve">plus: Accrued Interest </t>
  </si>
  <si>
    <t xml:space="preserve">Clean Price </t>
  </si>
  <si>
    <t>BACKTEST</t>
  </si>
  <si>
    <t>Previous distribution date</t>
  </si>
  <si>
    <t>Maturity date</t>
  </si>
  <si>
    <t>Inflation coefficient</t>
  </si>
  <si>
    <t>Accrual Period (days)</t>
  </si>
  <si>
    <t>CASH FLOW SCHEDULE - REAL 2014</t>
  </si>
  <si>
    <t>Less: Accrued Interest (real)</t>
  </si>
  <si>
    <t>CASH FLOW SCHEDULE - REAL 2026</t>
  </si>
  <si>
    <t>ASSUMPTIONS</t>
  </si>
  <si>
    <t>Inflation growth rate until first coupon</t>
  </si>
  <si>
    <t>Annual inflation rate for years 2027-30</t>
  </si>
  <si>
    <t>Inflation coefficient at present</t>
  </si>
  <si>
    <t>INFLATION COEFFICIENT SCHEDULE</t>
  </si>
  <si>
    <t>Issuer</t>
  </si>
  <si>
    <t>ES00000128S2</t>
  </si>
  <si>
    <t>Spain</t>
  </si>
  <si>
    <t>ES00000127C8 </t>
  </si>
  <si>
    <t>ES0000012C12 </t>
  </si>
  <si>
    <t>ES0000012O18 </t>
  </si>
  <si>
    <t>ES0000012M69</t>
  </si>
  <si>
    <t>ES0000012F19 </t>
  </si>
  <si>
    <t>ES0000012F27 </t>
  </si>
  <si>
    <t>ES0000012F35 </t>
  </si>
  <si>
    <t>IT0005657348</t>
  </si>
  <si>
    <t>IT0005647273</t>
  </si>
  <si>
    <t>IT0005588881</t>
  </si>
  <si>
    <t>IT0005547812</t>
  </si>
  <si>
    <t>IT0005543803</t>
  </si>
  <si>
    <t>IT0005482994</t>
  </si>
  <si>
    <t>IT0005436701</t>
  </si>
  <si>
    <t>IT0005415416</t>
  </si>
  <si>
    <t>IT0005387052</t>
  </si>
  <si>
    <t>IT0005246134</t>
  </si>
  <si>
    <t>IT0005138828</t>
  </si>
  <si>
    <t>IT0004735152</t>
  </si>
  <si>
    <t>IT0004545890</t>
  </si>
  <si>
    <t>IT0003745541</t>
  </si>
  <si>
    <t>Italy</t>
  </si>
  <si>
    <t>Rating Moody's</t>
  </si>
  <si>
    <t>Rating S&amp;P</t>
  </si>
  <si>
    <t>A+</t>
  </si>
  <si>
    <t>A3</t>
  </si>
  <si>
    <t>BBB+</t>
  </si>
  <si>
    <t>Baa2</t>
  </si>
  <si>
    <t>FR0013519253</t>
  </si>
  <si>
    <t>FR0011008705</t>
  </si>
  <si>
    <t>FR0013410552</t>
  </si>
  <si>
    <t>FR0011982776</t>
  </si>
  <si>
    <t>FR0014001N38</t>
  </si>
  <si>
    <t>FR0000188799</t>
  </si>
  <si>
    <t>FR001400JI88</t>
  </si>
  <si>
    <t>FR001400AQH0</t>
  </si>
  <si>
    <t>FR0010447367</t>
  </si>
  <si>
    <t>FR001400QCA1</t>
  </si>
  <si>
    <t>FR0013209871</t>
  </si>
  <si>
    <t>FR0014008181</t>
  </si>
  <si>
    <t>Aa3</t>
  </si>
  <si>
    <t>Aaa</t>
  </si>
  <si>
    <t>AAA</t>
  </si>
  <si>
    <t>DE0001030583</t>
  </si>
  <si>
    <t>DE0001030575</t>
  </si>
  <si>
    <t>DE0001030567</t>
  </si>
  <si>
    <t>YTM</t>
  </si>
  <si>
    <t>NO</t>
  </si>
  <si>
    <t>YES</t>
  </si>
  <si>
    <t>FACTS - NOMINAL</t>
  </si>
  <si>
    <t>Nominal coupon rate</t>
  </si>
  <si>
    <t>Nominal yield-to-maturity</t>
  </si>
  <si>
    <t>FACTS - REAL</t>
  </si>
  <si>
    <t>DE000BU25042</t>
  </si>
  <si>
    <t>Expected inflation I</t>
  </si>
  <si>
    <t>Today</t>
  </si>
  <si>
    <t>Residual maturity</t>
  </si>
  <si>
    <t>Expected inflation II</t>
  </si>
  <si>
    <t>Liability</t>
  </si>
  <si>
    <t>OUTPUT - REAL (2015)</t>
  </si>
  <si>
    <t>OUTPUT - NOMINAL (2026)</t>
  </si>
  <si>
    <t>Clean Price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</si>
</sst>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2]\ #,##0.00"/>
    <numFmt numFmtId="165" formatCode="[$€-2]\ #,##0.000"/>
    <numFmt numFmtId="166" formatCode="0.000%"/>
    <numFmt numFmtId="167" formatCode="#,##0.00\ [$€-407]"/>
    <numFmt numFmtId="168" formatCode="_-* #,##0.00\ _€_-;\-* #,##0.00\ _€_-;_-* &quot;-&quot;??\ _€_-;_-@_-"/>
    <numFmt numFmtId="169" formatCode="0.00000"/>
    <numFmt numFmtId="170" formatCode="#,##0.000\ [$€-407]"/>
    <numFmt numFmtId="171" formatCode="0.0000%"/>
    <numFmt numFmtId="172" formatCode="0.000000000"/>
  </numFmts>
  <fonts count="15" x14ac:knownFonts="1">
    <font>
      <sz val="11"/>
      <color theme="1"/>
      <name val="Aptos Narrow"/>
      <family val="2"/>
      <charset val="238"/>
      <scheme val="minor"/>
    </font>
    <font>
      <sz val="11"/>
      <color theme="1"/>
      <name val="Aptos Narrow"/>
      <family val="2"/>
      <charset val="238"/>
      <scheme val="minor"/>
    </font>
    <font>
      <sz val="10"/>
      <color rgb="FF000000"/>
      <name val="Arial"/>
      <family val="2"/>
    </font>
    <font>
      <sz val="11"/>
      <color theme="1"/>
      <name val="Calibri"/>
      <family val="2"/>
    </font>
    <font>
      <u/>
      <sz val="11"/>
      <color theme="10"/>
      <name val="Aptos Narrow"/>
      <family val="2"/>
      <charset val="238"/>
      <scheme val="minor"/>
    </font>
    <font>
      <b/>
      <u/>
      <sz val="11"/>
      <color theme="1"/>
      <name val="Aptos Narrow"/>
      <family val="2"/>
      <scheme val="minor"/>
    </font>
    <font>
      <b/>
      <sz val="10"/>
      <color rgb="FF000000"/>
      <name val="Arial"/>
      <family val="2"/>
    </font>
    <font>
      <sz val="10"/>
      <name val="Arial"/>
      <family val="2"/>
    </font>
    <font>
      <u/>
      <sz val="10"/>
      <color theme="10"/>
      <name val="Arial"/>
      <family val="2"/>
    </font>
    <font>
      <sz val="10"/>
      <name val="Arial"/>
      <family val="2"/>
    </font>
    <font>
      <b/>
      <sz val="11"/>
      <color theme="1"/>
      <name val="Aptos Narrow"/>
      <family val="2"/>
      <scheme val="minor"/>
    </font>
    <font>
      <sz val="11"/>
      <color theme="1"/>
      <name val="Aptos Narrow"/>
      <family val="2"/>
      <scheme val="minor"/>
    </font>
    <font>
      <sz val="8"/>
      <name val="Aptos Narrow"/>
      <family val="2"/>
      <charset val="238"/>
      <scheme val="minor"/>
    </font>
    <font>
      <b/>
      <sz val="11"/>
      <color theme="0"/>
      <name val="Aptos Narrow"/>
      <family val="2"/>
      <charset val="238"/>
      <scheme val="minor"/>
    </font>
    <font>
      <sz val="11"/>
      <color theme="1"/>
      <name val="Segoe UI Emoji"/>
      <family val="2"/>
    </font>
  </fonts>
  <fills count="12">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CCCC"/>
        <bgColor indexed="64"/>
      </patternFill>
    </fill>
    <fill>
      <patternFill patternType="solid">
        <fgColor theme="1"/>
        <bgColor indexed="64"/>
      </patternFill>
    </fill>
    <fill>
      <patternFill patternType="solid">
        <fgColor theme="1"/>
        <bgColor theme="1"/>
      </patternFill>
    </fill>
    <fill>
      <patternFill patternType="solid">
        <fgColor theme="0" tint="-0.14999847407452621"/>
        <bgColor theme="0" tint="-0.14999847407452621"/>
      </patternFill>
    </fill>
    <fill>
      <patternFill patternType="solid">
        <fgColor theme="0"/>
        <bgColor indexed="64"/>
      </patternFill>
    </fill>
    <fill>
      <patternFill patternType="solid">
        <fgColor theme="1" tint="0.14999847407452621"/>
        <bgColor indexed="64"/>
      </patternFill>
    </fill>
    <fill>
      <patternFill patternType="solid">
        <fgColor theme="0" tint="-0.249977111117893"/>
        <bgColor indexed="64"/>
      </patternFill>
    </fill>
  </fills>
  <borders count="30">
    <border>
      <left/>
      <right/>
      <top/>
      <bottom/>
      <diagonal/>
    </border>
    <border>
      <left/>
      <right style="medium">
        <color rgb="FF002060"/>
      </right>
      <top/>
      <bottom style="medium">
        <color rgb="FF002060"/>
      </bottom>
      <diagonal/>
    </border>
    <border>
      <left style="medium">
        <color rgb="FF002060"/>
      </left>
      <right style="thin">
        <color rgb="FF002060"/>
      </right>
      <top/>
      <bottom style="medium">
        <color rgb="FF002060"/>
      </bottom>
      <diagonal/>
    </border>
    <border>
      <left style="medium">
        <color rgb="FF002060"/>
      </left>
      <right style="thin">
        <color rgb="FF002060"/>
      </right>
      <top style="medium">
        <color rgb="FF002060"/>
      </top>
      <bottom style="thin">
        <color rgb="FF002060"/>
      </bottom>
      <diagonal/>
    </border>
    <border>
      <left/>
      <right style="medium">
        <color rgb="FF002060"/>
      </right>
      <top style="medium">
        <color rgb="FF002060"/>
      </top>
      <bottom style="thin">
        <color rgb="FF002060"/>
      </bottom>
      <diagonal/>
    </border>
    <border>
      <left style="medium">
        <color rgb="FF002060"/>
      </left>
      <right style="thin">
        <color rgb="FF002060"/>
      </right>
      <top style="thin">
        <color rgb="FF002060"/>
      </top>
      <bottom style="thin">
        <color rgb="FF002060"/>
      </bottom>
      <diagonal/>
    </border>
    <border>
      <left/>
      <right style="medium">
        <color rgb="FF002060"/>
      </right>
      <top style="thin">
        <color rgb="FF002060"/>
      </top>
      <bottom style="thin">
        <color rgb="FF002060"/>
      </bottom>
      <diagonal/>
    </border>
    <border>
      <left style="medium">
        <color rgb="FF002060"/>
      </left>
      <right style="thin">
        <color rgb="FF002060"/>
      </right>
      <top/>
      <bottom style="thin">
        <color rgb="FF002060"/>
      </bottom>
      <diagonal/>
    </border>
    <border>
      <left/>
      <right style="medium">
        <color rgb="FF002060"/>
      </right>
      <top/>
      <bottom style="thin">
        <color rgb="FF002060"/>
      </bottom>
      <diagonal/>
    </border>
    <border>
      <left style="medium">
        <color rgb="FF002060"/>
      </left>
      <right style="thin">
        <color rgb="FF002060"/>
      </right>
      <top style="thin">
        <color rgb="FF002060"/>
      </top>
      <bottom style="thin">
        <color indexed="64"/>
      </bottom>
      <diagonal/>
    </border>
    <border>
      <left/>
      <right style="medium">
        <color rgb="FF002060"/>
      </right>
      <top style="thin">
        <color rgb="FF002060"/>
      </top>
      <bottom style="thin">
        <color indexed="64"/>
      </bottom>
      <diagonal/>
    </border>
    <border>
      <left style="thin">
        <color rgb="FF002060"/>
      </left>
      <right style="medium">
        <color rgb="FF002060"/>
      </right>
      <top style="thin">
        <color indexed="64"/>
      </top>
      <bottom style="medium">
        <color indexed="64"/>
      </bottom>
      <diagonal/>
    </border>
    <border>
      <left/>
      <right/>
      <top/>
      <bottom style="medium">
        <color indexed="64"/>
      </bottom>
      <diagonal/>
    </border>
    <border>
      <left/>
      <right/>
      <top style="medium">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ck">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style="thin">
        <color theme="1" tint="0.499984740745262"/>
      </top>
      <bottom/>
      <diagonal/>
    </border>
    <border>
      <left style="thin">
        <color theme="1"/>
      </left>
      <right/>
      <top style="thin">
        <color theme="1"/>
      </top>
      <bottom/>
      <diagonal/>
    </border>
    <border>
      <left/>
      <right/>
      <top style="thin">
        <color theme="1"/>
      </top>
      <bottom/>
      <diagonal/>
    </border>
  </borders>
  <cellStyleXfs count="8">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7" fillId="0" borderId="0"/>
    <xf numFmtId="168" fontId="7" fillId="0" borderId="0" applyFont="0" applyFill="0" applyBorder="0" applyAlignment="0" applyProtection="0"/>
    <xf numFmtId="0" fontId="8" fillId="0" borderId="0" applyNumberFormat="0" applyFill="0" applyBorder="0" applyAlignment="0" applyProtection="0"/>
    <xf numFmtId="0" fontId="9" fillId="0" borderId="0"/>
    <xf numFmtId="43" fontId="1" fillId="0" borderId="0" applyFont="0" applyFill="0" applyBorder="0" applyAlignment="0" applyProtection="0"/>
  </cellStyleXfs>
  <cellXfs count="85">
    <xf numFmtId="0" fontId="0" fillId="0" borderId="0" xfId="0"/>
    <xf numFmtId="0" fontId="2" fillId="0" borderId="0" xfId="0" applyFont="1"/>
    <xf numFmtId="164" fontId="0" fillId="0" borderId="0" xfId="0" applyNumberFormat="1"/>
    <xf numFmtId="14" fontId="0" fillId="0" borderId="0" xfId="0" applyNumberFormat="1"/>
    <xf numFmtId="0" fontId="3" fillId="0" borderId="0" xfId="0" applyFont="1"/>
    <xf numFmtId="0" fontId="5" fillId="0" borderId="0" xfId="0" applyFont="1"/>
    <xf numFmtId="0" fontId="6" fillId="2" borderId="3" xfId="0" applyFont="1" applyFill="1" applyBorder="1"/>
    <xf numFmtId="0" fontId="6" fillId="2" borderId="5" xfId="0" applyFont="1" applyFill="1" applyBorder="1"/>
    <xf numFmtId="0" fontId="6" fillId="2" borderId="2" xfId="0" applyFont="1" applyFill="1" applyBorder="1"/>
    <xf numFmtId="0" fontId="2" fillId="3" borderId="4"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1" xfId="0" applyFont="1" applyFill="1" applyBorder="1" applyAlignment="1">
      <alignment horizontal="center" vertical="center"/>
    </xf>
    <xf numFmtId="0" fontId="4" fillId="0" borderId="0" xfId="2"/>
    <xf numFmtId="0" fontId="6" fillId="2" borderId="7" xfId="0" applyFont="1" applyFill="1" applyBorder="1"/>
    <xf numFmtId="10" fontId="2" fillId="3" borderId="4" xfId="1" applyNumberFormat="1" applyFont="1" applyFill="1" applyBorder="1" applyAlignment="1">
      <alignment horizontal="center" vertical="center"/>
    </xf>
    <xf numFmtId="167" fontId="2" fillId="3" borderId="6" xfId="0" applyNumberFormat="1" applyFont="1" applyFill="1" applyBorder="1" applyAlignment="1">
      <alignment horizontal="center" vertical="center"/>
    </xf>
    <xf numFmtId="14" fontId="2" fillId="3" borderId="6" xfId="0" applyNumberFormat="1" applyFont="1" applyFill="1" applyBorder="1" applyAlignment="1">
      <alignment horizontal="center" vertical="center"/>
    </xf>
    <xf numFmtId="14" fontId="2" fillId="3" borderId="8" xfId="0" applyNumberFormat="1" applyFont="1" applyFill="1" applyBorder="1" applyAlignment="1">
      <alignment horizontal="center" vertical="center"/>
    </xf>
    <xf numFmtId="0" fontId="6" fillId="2" borderId="9" xfId="0" applyFont="1" applyFill="1" applyBorder="1"/>
    <xf numFmtId="0" fontId="2" fillId="3" borderId="11" xfId="0" applyFont="1" applyFill="1" applyBorder="1" applyAlignment="1">
      <alignment horizontal="center" vertical="center"/>
    </xf>
    <xf numFmtId="0" fontId="10" fillId="0" borderId="12" xfId="0" applyFont="1" applyBorder="1"/>
    <xf numFmtId="0" fontId="5" fillId="0" borderId="12" xfId="0" applyFont="1" applyBorder="1"/>
    <xf numFmtId="0" fontId="2" fillId="0" borderId="13" xfId="0" applyFont="1" applyBorder="1"/>
    <xf numFmtId="167" fontId="2" fillId="0" borderId="13" xfId="0" applyNumberFormat="1" applyFont="1" applyBorder="1"/>
    <xf numFmtId="167" fontId="2" fillId="0" borderId="0" xfId="0" applyNumberFormat="1" applyFont="1"/>
    <xf numFmtId="167" fontId="2" fillId="0" borderId="14" xfId="0" applyNumberFormat="1" applyFont="1" applyBorder="1"/>
    <xf numFmtId="0" fontId="6" fillId="0" borderId="14" xfId="0" applyFont="1" applyBorder="1"/>
    <xf numFmtId="0" fontId="6" fillId="4" borderId="14" xfId="0" applyFont="1" applyFill="1" applyBorder="1"/>
    <xf numFmtId="0" fontId="2" fillId="5" borderId="13" xfId="0" applyFont="1" applyFill="1" applyBorder="1"/>
    <xf numFmtId="170" fontId="2" fillId="4" borderId="14" xfId="0" applyNumberFormat="1" applyFont="1" applyFill="1" applyBorder="1"/>
    <xf numFmtId="166" fontId="2" fillId="3" borderId="4" xfId="1" applyNumberFormat="1" applyFont="1" applyFill="1" applyBorder="1" applyAlignment="1">
      <alignment horizontal="center" vertical="center"/>
    </xf>
    <xf numFmtId="9" fontId="2" fillId="3" borderId="6" xfId="1" applyFont="1" applyFill="1" applyBorder="1" applyAlignment="1">
      <alignment horizontal="center" vertical="center"/>
    </xf>
    <xf numFmtId="10" fontId="2" fillId="3" borderId="6" xfId="1" applyNumberFormat="1" applyFont="1" applyFill="1" applyBorder="1" applyAlignment="1">
      <alignment horizontal="center" vertical="center"/>
    </xf>
    <xf numFmtId="167" fontId="2" fillId="3" borderId="10" xfId="0" applyNumberFormat="1" applyFont="1" applyFill="1" applyBorder="1" applyAlignment="1">
      <alignment horizontal="center" vertical="center"/>
    </xf>
    <xf numFmtId="14" fontId="2" fillId="3" borderId="10" xfId="0" applyNumberFormat="1" applyFont="1" applyFill="1" applyBorder="1" applyAlignment="1">
      <alignment horizontal="center" vertical="center"/>
    </xf>
    <xf numFmtId="0" fontId="0" fillId="3" borderId="15" xfId="0" applyFill="1" applyBorder="1"/>
    <xf numFmtId="14" fontId="0" fillId="3" borderId="16" xfId="0" applyNumberFormat="1" applyFill="1" applyBorder="1"/>
    <xf numFmtId="14" fontId="0" fillId="3" borderId="17" xfId="0" applyNumberFormat="1" applyFill="1" applyBorder="1"/>
    <xf numFmtId="0" fontId="0" fillId="3" borderId="16" xfId="0" applyFill="1" applyBorder="1"/>
    <xf numFmtId="164" fontId="0" fillId="3" borderId="16" xfId="0" applyNumberFormat="1" applyFill="1" applyBorder="1"/>
    <xf numFmtId="171" fontId="2" fillId="3" borderId="4" xfId="1" applyNumberFormat="1" applyFont="1" applyFill="1" applyBorder="1" applyAlignment="1">
      <alignment horizontal="center" vertical="center"/>
    </xf>
    <xf numFmtId="0" fontId="0" fillId="3" borderId="14" xfId="0" applyFill="1" applyBorder="1"/>
    <xf numFmtId="164" fontId="0" fillId="3" borderId="14" xfId="0" applyNumberFormat="1" applyFill="1" applyBorder="1"/>
    <xf numFmtId="0" fontId="2" fillId="3" borderId="8" xfId="0" applyFont="1" applyFill="1" applyBorder="1" applyAlignment="1">
      <alignment horizontal="center" vertical="center"/>
    </xf>
    <xf numFmtId="167" fontId="0" fillId="0" borderId="0" xfId="0" applyNumberFormat="1"/>
    <xf numFmtId="0" fontId="11" fillId="0" borderId="14" xfId="0" applyFont="1" applyBorder="1"/>
    <xf numFmtId="164" fontId="11" fillId="0" borderId="14" xfId="0" applyNumberFormat="1" applyFont="1" applyBorder="1"/>
    <xf numFmtId="164" fontId="0" fillId="2" borderId="18" xfId="0" applyNumberFormat="1" applyFill="1" applyBorder="1"/>
    <xf numFmtId="0" fontId="10" fillId="2" borderId="18" xfId="0" applyFont="1" applyFill="1" applyBorder="1"/>
    <xf numFmtId="0" fontId="0" fillId="6" borderId="0" xfId="0" applyFill="1"/>
    <xf numFmtId="165" fontId="11" fillId="0" borderId="14" xfId="0" applyNumberFormat="1" applyFont="1" applyBorder="1"/>
    <xf numFmtId="0" fontId="6" fillId="0" borderId="0" xfId="0" applyFont="1"/>
    <xf numFmtId="0" fontId="2" fillId="0" borderId="0" xfId="0" applyFont="1" applyAlignment="1">
      <alignment horizontal="center" vertical="center"/>
    </xf>
    <xf numFmtId="169" fontId="0" fillId="0" borderId="0" xfId="0" applyNumberFormat="1"/>
    <xf numFmtId="0" fontId="10" fillId="2" borderId="16" xfId="0" applyFont="1" applyFill="1" applyBorder="1"/>
    <xf numFmtId="164" fontId="0" fillId="2" borderId="16" xfId="0" applyNumberFormat="1" applyFill="1" applyBorder="1"/>
    <xf numFmtId="166" fontId="2" fillId="3" borderId="10" xfId="1" applyNumberFormat="1" applyFont="1" applyFill="1" applyBorder="1" applyAlignment="1">
      <alignment horizontal="center" vertical="center"/>
    </xf>
    <xf numFmtId="171" fontId="2" fillId="3" borderId="10" xfId="1" applyNumberFormat="1" applyFont="1" applyFill="1" applyBorder="1" applyAlignment="1">
      <alignment horizontal="center" vertical="center"/>
    </xf>
    <xf numFmtId="166" fontId="2" fillId="3" borderId="6" xfId="1" applyNumberFormat="1" applyFont="1" applyFill="1" applyBorder="1" applyAlignment="1">
      <alignment horizontal="center" vertical="center"/>
    </xf>
    <xf numFmtId="0" fontId="0" fillId="4" borderId="19" xfId="0" applyFill="1" applyBorder="1"/>
    <xf numFmtId="0" fontId="0" fillId="4" borderId="20" xfId="0" applyFill="1" applyBorder="1"/>
    <xf numFmtId="10" fontId="0" fillId="4" borderId="21" xfId="1" applyNumberFormat="1" applyFont="1" applyFill="1" applyBorder="1"/>
    <xf numFmtId="0" fontId="0" fillId="8" borderId="22" xfId="0" applyFill="1" applyBorder="1"/>
    <xf numFmtId="0" fontId="0" fillId="8" borderId="23" xfId="0" applyFill="1" applyBorder="1"/>
    <xf numFmtId="14" fontId="7" fillId="0" borderId="24" xfId="0" applyNumberFormat="1" applyFont="1" applyBorder="1" applyAlignment="1">
      <alignment horizontal="center" vertical="center"/>
    </xf>
    <xf numFmtId="169" fontId="0" fillId="0" borderId="25" xfId="7" applyNumberFormat="1" applyFont="1" applyBorder="1" applyAlignment="1">
      <alignment horizontal="center"/>
    </xf>
    <xf numFmtId="14" fontId="7" fillId="0" borderId="26" xfId="0" applyNumberFormat="1" applyFont="1" applyBorder="1" applyAlignment="1">
      <alignment horizontal="center" vertical="center"/>
    </xf>
    <xf numFmtId="169" fontId="0" fillId="0" borderId="27" xfId="7" applyNumberFormat="1" applyFont="1" applyBorder="1" applyAlignment="1">
      <alignment horizontal="center"/>
    </xf>
    <xf numFmtId="0" fontId="0" fillId="9" borderId="16" xfId="0" applyFill="1" applyBorder="1"/>
    <xf numFmtId="164" fontId="0" fillId="9" borderId="16" xfId="0" applyNumberFormat="1" applyFill="1" applyBorder="1"/>
    <xf numFmtId="167" fontId="2" fillId="5" borderId="0" xfId="0" applyNumberFormat="1" applyFont="1" applyFill="1"/>
    <xf numFmtId="167" fontId="2" fillId="5" borderId="13" xfId="0" applyNumberFormat="1" applyFont="1" applyFill="1" applyBorder="1"/>
    <xf numFmtId="0" fontId="13" fillId="7" borderId="28" xfId="0" applyFont="1" applyFill="1" applyBorder="1"/>
    <xf numFmtId="0" fontId="13" fillId="7" borderId="29" xfId="0" applyFont="1" applyFill="1" applyBorder="1"/>
    <xf numFmtId="0" fontId="0" fillId="8" borderId="28" xfId="0" applyFill="1" applyBorder="1"/>
    <xf numFmtId="14" fontId="0" fillId="8" borderId="29" xfId="0" applyNumberFormat="1" applyFill="1" applyBorder="1"/>
    <xf numFmtId="0" fontId="0" fillId="8" borderId="29" xfId="0" applyFill="1" applyBorder="1"/>
    <xf numFmtId="0" fontId="0" fillId="0" borderId="28" xfId="0" applyBorder="1"/>
    <xf numFmtId="14" fontId="0" fillId="0" borderId="29" xfId="0" applyNumberFormat="1" applyBorder="1"/>
    <xf numFmtId="0" fontId="0" fillId="0" borderId="29" xfId="0" applyBorder="1"/>
    <xf numFmtId="14" fontId="0" fillId="8" borderId="23" xfId="0" applyNumberFormat="1" applyFill="1" applyBorder="1"/>
    <xf numFmtId="0" fontId="14" fillId="10" borderId="0" xfId="0" applyFont="1" applyFill="1"/>
    <xf numFmtId="0" fontId="0" fillId="10" borderId="0" xfId="0" applyFill="1"/>
    <xf numFmtId="0" fontId="0" fillId="11" borderId="0" xfId="0" applyFill="1"/>
    <xf numFmtId="172" fontId="0" fillId="0" borderId="0" xfId="0" applyNumberFormat="1"/>
  </cellXfs>
  <cellStyles count="8">
    <cellStyle name="Comma 2" xfId="4" xr:uid="{45F3E59A-47D1-43B4-ABDF-7107DB488056}"/>
    <cellStyle name="Čárka" xfId="7" builtinId="3"/>
    <cellStyle name="Hyperlink 2" xfId="5" xr:uid="{518B8406-C099-4385-8E7B-90A9E4923D20}"/>
    <cellStyle name="Hypertextový odkaz" xfId="2" builtinId="8"/>
    <cellStyle name="Normal 2" xfId="3" xr:uid="{474F9798-9C08-40B8-AA51-C13801F1C181}"/>
    <cellStyle name="Normal 3" xfId="6" xr:uid="{01B05F17-FFBE-4870-9824-005185826762}"/>
    <cellStyle name="Normální" xfId="0" builtinId="0"/>
    <cellStyle name="Procenta" xfId="1" builtinId="5"/>
  </cellStyles>
  <dxfs count="12">
    <dxf>
      <font>
        <b val="0"/>
        <i val="0"/>
        <strike val="0"/>
        <condense val="0"/>
        <extend val="0"/>
        <outline val="0"/>
        <shadow val="0"/>
        <u val="none"/>
        <vertAlign val="baseline"/>
        <sz val="11"/>
        <color theme="1"/>
        <name val="Aptos Narrow"/>
        <family val="2"/>
        <charset val="238"/>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charset val="238"/>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charset val="238"/>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charset val="238"/>
        <scheme val="minor"/>
      </font>
      <numFmt numFmtId="19" formatCode="dd/mm/yyyy"/>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charset val="238"/>
        <scheme val="minor"/>
      </font>
      <fill>
        <patternFill patternType="solid">
          <fgColor theme="0" tint="-0.14999847407452621"/>
          <bgColor theme="0" tint="-0.14999847407452621"/>
        </patternFill>
      </fill>
      <border diagonalUp="0" diagonalDown="0">
        <left style="thin">
          <color theme="1"/>
        </left>
        <right/>
        <top style="thin">
          <color theme="1"/>
        </top>
        <bottom/>
        <vertical/>
        <horizontal/>
      </border>
    </dxf>
    <dxf>
      <border outline="0">
        <right style="thin">
          <color theme="1"/>
        </right>
      </border>
    </dxf>
    <dxf>
      <font>
        <b val="0"/>
        <i val="0"/>
        <strike val="0"/>
        <condense val="0"/>
        <extend val="0"/>
        <outline val="0"/>
        <shadow val="0"/>
        <u val="none"/>
        <vertAlign val="baseline"/>
        <sz val="11"/>
        <color theme="1"/>
        <name val="Aptos Narrow"/>
        <family val="2"/>
        <charset val="238"/>
        <scheme val="minor"/>
      </font>
      <fill>
        <patternFill patternType="solid">
          <fgColor theme="0" tint="-0.14999847407452621"/>
          <bgColor theme="0" tint="-0.14999847407452621"/>
        </patternFill>
      </fill>
    </dxf>
    <dxf>
      <font>
        <b/>
        <i val="0"/>
        <strike val="0"/>
        <condense val="0"/>
        <extend val="0"/>
        <outline val="0"/>
        <shadow val="0"/>
        <u val="none"/>
        <vertAlign val="baseline"/>
        <sz val="11"/>
        <color theme="0"/>
        <name val="Aptos Narrow"/>
        <family val="2"/>
        <charset val="238"/>
        <scheme val="minor"/>
      </font>
      <fill>
        <patternFill patternType="solid">
          <fgColor theme="1"/>
          <bgColor theme="1"/>
        </patternFill>
      </fill>
    </dxf>
    <dxf>
      <font>
        <b val="0"/>
        <i val="0"/>
        <strike val="0"/>
        <condense val="0"/>
        <extend val="0"/>
        <outline val="0"/>
        <shadow val="0"/>
        <u val="none"/>
        <vertAlign val="baseline"/>
        <sz val="11"/>
        <color theme="1"/>
        <name val="Aptos Narrow"/>
        <family val="2"/>
        <charset val="238"/>
        <scheme val="minor"/>
      </font>
      <numFmt numFmtId="169" formatCode="0.00000"/>
      <alignment horizontal="center" vertical="bottom" textRotation="0" wrapText="0"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b val="0"/>
        <i val="0"/>
        <strike val="0"/>
        <condense val="0"/>
        <extend val="0"/>
        <outline val="0"/>
        <shadow val="0"/>
        <u val="none"/>
        <vertAlign val="baseline"/>
        <sz val="10"/>
        <color auto="1"/>
        <name val="Arial"/>
        <family val="2"/>
        <scheme val="none"/>
      </font>
      <numFmt numFmtId="19" formatCode="dd/mm/yyyy"/>
      <alignment horizontal="center" vertical="center" textRotation="0" wrapText="0" indent="0" justifyLastLine="0" shrinkToFit="0" readingOrder="0"/>
      <border diagonalUp="0" diagonalDown="0">
        <left style="thin">
          <color theme="1" tint="0.499984740745262"/>
        </left>
        <right style="thin">
          <color theme="1" tint="0.499984740745262"/>
        </right>
        <top/>
        <bottom style="thin">
          <color theme="1" tint="0.499984740745262"/>
        </bottom>
        <vertical/>
        <horizontal/>
      </border>
    </dxf>
    <dxf>
      <border outline="0">
        <bottom style="thin">
          <color theme="1" tint="0.499984740745262"/>
        </bottom>
      </border>
    </dxf>
    <dxf>
      <numFmt numFmtId="19" formatCode="dd/mm/yyyy"/>
    </dxf>
  </dxfs>
  <tableStyles count="0" defaultTableStyle="TableStyleMedium2" defaultPivotStyle="PivotStyleLight16"/>
  <colors>
    <mruColors>
      <color rgb="FFFFCCCC"/>
      <color rgb="FFFFFF66"/>
      <color rgb="FFFFFFCC"/>
      <color rgb="FF0000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hyperlink" Target="#'Solution 4'!A1"/><Relationship Id="rId3" Type="http://schemas.openxmlformats.org/officeDocument/2006/relationships/hyperlink" Target="#'Problem 2'!A1"/><Relationship Id="rId7" Type="http://schemas.openxmlformats.org/officeDocument/2006/relationships/hyperlink" Target="#'Problem 4'!A1"/><Relationship Id="rId2" Type="http://schemas.openxmlformats.org/officeDocument/2006/relationships/hyperlink" Target="#'Solution 1'!A1"/><Relationship Id="rId1" Type="http://schemas.openxmlformats.org/officeDocument/2006/relationships/hyperlink" Target="#'Problem 1'!A1"/><Relationship Id="rId6" Type="http://schemas.openxmlformats.org/officeDocument/2006/relationships/hyperlink" Target="#'Solution 3'!A1"/><Relationship Id="rId5" Type="http://schemas.openxmlformats.org/officeDocument/2006/relationships/hyperlink" Target="#'Problem 3'!A1"/><Relationship Id="rId10" Type="http://schemas.openxmlformats.org/officeDocument/2006/relationships/image" Target="../media/image1.jpeg"/><Relationship Id="rId4" Type="http://schemas.openxmlformats.org/officeDocument/2006/relationships/hyperlink" Target="#'Solution 2'!A1"/><Relationship Id="rId9" Type="http://schemas.openxmlformats.org/officeDocument/2006/relationships/hyperlink" Target="#'Da&#328;ov&#225; vsuvka'!A1"/></Relationships>
</file>

<file path=xl/drawings/_rels/drawing2.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https://www.deutsche-finanzagentur.de/en/federal-securities/factsheet/isin/DE0001030559?cHash=f50ce7c312f099a9c4fb322168c0c5e3" TargetMode="External"/></Relationships>
</file>

<file path=xl/drawings/_rels/drawing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2.png"/><Relationship Id="rId1" Type="http://schemas.openxmlformats.org/officeDocument/2006/relationships/hyperlink" Target="https://www.deutsche-finanzagentur.de/en/federal-securities/factsheet/isin/DE0001030559?cHash=f50ce7c312f099a9c4fb322168c0c5e3" TargetMode="External"/></Relationships>
</file>

<file path=xl/drawings/_rels/drawing4.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https://www.deutsche-finanzagentur.de/en/federal-securities/factsheet/isin/DE0001030559?cHash=f50ce7c312f099a9c4fb322168c0c5e3" TargetMode="External"/></Relationships>
</file>

<file path=xl/drawings/_rels/drawing5.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https://www.deutsche-finanzagentur.de/fileadmin/user_upload/Institutionelle-investoren/emissionsbedingungen/en/Emissionsbedingungen_ILB_2013_en.pdf" TargetMode="External"/><Relationship Id="rId1" Type="http://schemas.openxmlformats.org/officeDocument/2006/relationships/hyperlink" Target="https://www.deutsche-finanzagentur.de/en/federal-securities/factsheet/isin/DE0001030559?cHash=f50ce7c312f099a9c4fb322168c0c5e3" TargetMode="External"/></Relationships>
</file>

<file path=xl/drawings/_rels/drawing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https://www.deutsche-finanzagentur.de/en/federal-securities/factsheet/isin/DE0001030559?cHash=f50ce7c312f099a9c4fb322168c0c5e3" TargetMode="External"/><Relationship Id="rId1" Type="http://schemas.openxmlformats.org/officeDocument/2006/relationships/hyperlink" Target="https://www.deutsche-finanzagentur.de/en/federal-securities/factsheet/isin/DE000BU25042?cHash=71de08140a6391064a6da45268238870"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www.deutsche-finanzagentur.de/en/federal-securities/factsheet/isin/DE0001030559?cHash=f50ce7c312f099a9c4fb322168c0c5e3" TargetMode="External"/><Relationship Id="rId1" Type="http://schemas.openxmlformats.org/officeDocument/2006/relationships/hyperlink" Target="https://www.deutsche-finanzagentur.de/en/federal-securities/factsheet/isin/DE000BU25042?cHash=71de08140a6391064a6da45268238870" TargetMode="External"/><Relationship Id="rId4" Type="http://schemas.openxmlformats.org/officeDocument/2006/relationships/hyperlink" Target="#MENU!A1"/></Relationships>
</file>

<file path=xl/drawings/_rels/drawing8.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https://www.deutsche-finanzagentur.de/en/federal-securities/factsheet/isin/DE0001030583?cHash=3fb624144258e6c73bb19de726a2edf6" TargetMode="External"/></Relationships>
</file>

<file path=xl/drawings/_rels/drawing9.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https://www.deutsche-finanzagentur.de/en/federal-securities/factsheet/isin/DE0001030583?cHash=3fb624144258e6c73bb19de726a2edf6" TargetMode="External"/></Relationships>
</file>

<file path=xl/drawings/_rels/drawing10.xml.rels><?xml version="1.0" encoding="UTF-8" standalone="yes"?>
<Relationships xmlns="http://schemas.openxmlformats.org/package/2006/relationships"><Relationship Id="rId1" Type="http://schemas.openxmlformats.org/officeDocument/2006/relationships/hyperlink" Target="#MENU!A1"/></Relationships>
</file>

<file path=xl/drawings/drawing1.xml><?xml version="1.0" encoding="utf-8"?>
<xdr:wsDr xmlns:xdr="http://schemas.openxmlformats.org/drawingml/2006/spreadsheetDrawing" xmlns:a="http://schemas.openxmlformats.org/drawingml/2006/main">
  <xdr:twoCellAnchor>
    <xdr:from>
      <xdr:col>5</xdr:col>
      <xdr:colOff>313766</xdr:colOff>
      <xdr:row>2</xdr:row>
      <xdr:rowOff>52296</xdr:rowOff>
    </xdr:from>
    <xdr:to>
      <xdr:col>14</xdr:col>
      <xdr:colOff>590178</xdr:colOff>
      <xdr:row>25</xdr:row>
      <xdr:rowOff>149413</xdr:rowOff>
    </xdr:to>
    <xdr:sp macro="" textlink="">
      <xdr:nvSpPr>
        <xdr:cNvPr id="2" name="TextovéPole 1">
          <a:extLst>
            <a:ext uri="{FF2B5EF4-FFF2-40B4-BE49-F238E27FC236}">
              <a16:creationId xmlns:a16="http://schemas.microsoft.com/office/drawing/2014/main" id="{60536554-7ACA-47D1-6D4C-F3F3B04FE6D6}"/>
            </a:ext>
          </a:extLst>
        </xdr:cNvPr>
        <xdr:cNvSpPr txBox="1"/>
      </xdr:nvSpPr>
      <xdr:spPr>
        <a:xfrm>
          <a:off x="4407648" y="425825"/>
          <a:ext cx="5789706" cy="4415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8800" b="1" i="1">
              <a:solidFill>
                <a:schemeClr val="bg1"/>
              </a:solidFill>
              <a:latin typeface="Aptos Display" panose="020B0004020202020204" pitchFamily="34" charset="0"/>
            </a:rPr>
            <a:t>INFLATION</a:t>
          </a:r>
        </a:p>
        <a:p>
          <a:r>
            <a:rPr lang="cs-CZ" sz="8800" b="1" i="1">
              <a:solidFill>
                <a:schemeClr val="bg1"/>
              </a:solidFill>
              <a:latin typeface="Aptos Display" panose="020B0004020202020204" pitchFamily="34" charset="0"/>
            </a:rPr>
            <a:t>LINKED</a:t>
          </a:r>
        </a:p>
        <a:p>
          <a:r>
            <a:rPr lang="cs-CZ" sz="8800" b="1" i="1">
              <a:solidFill>
                <a:schemeClr val="bg1"/>
              </a:solidFill>
              <a:latin typeface="Aptos Display" panose="020B0004020202020204" pitchFamily="34" charset="0"/>
            </a:rPr>
            <a:t>BONDS</a:t>
          </a:r>
          <a:endParaRPr lang="en-US" sz="8800" b="1" i="1">
            <a:solidFill>
              <a:schemeClr val="bg1"/>
            </a:solidFill>
            <a:latin typeface="Aptos Display" panose="020B0004020202020204" pitchFamily="34" charset="0"/>
          </a:endParaRPr>
        </a:p>
      </xdr:txBody>
    </xdr:sp>
    <xdr:clientData/>
  </xdr:twoCellAnchor>
  <xdr:twoCellAnchor>
    <xdr:from>
      <xdr:col>0</xdr:col>
      <xdr:colOff>127000</xdr:colOff>
      <xdr:row>0</xdr:row>
      <xdr:rowOff>172357</xdr:rowOff>
    </xdr:from>
    <xdr:to>
      <xdr:col>0</xdr:col>
      <xdr:colOff>1487714</xdr:colOff>
      <xdr:row>3</xdr:row>
      <xdr:rowOff>172357</xdr:rowOff>
    </xdr:to>
    <xdr:sp macro="" textlink="">
      <xdr:nvSpPr>
        <xdr:cNvPr id="3" name="Obdélník 2">
          <a:hlinkClick xmlns:r="http://schemas.openxmlformats.org/officeDocument/2006/relationships" r:id="rId1"/>
          <a:extLst>
            <a:ext uri="{FF2B5EF4-FFF2-40B4-BE49-F238E27FC236}">
              <a16:creationId xmlns:a16="http://schemas.microsoft.com/office/drawing/2014/main" id="{708A9309-8501-ECA2-DE53-1DB0188EB1D8}"/>
            </a:ext>
          </a:extLst>
        </xdr:cNvPr>
        <xdr:cNvSpPr/>
      </xdr:nvSpPr>
      <xdr:spPr>
        <a:xfrm>
          <a:off x="127000" y="172357"/>
          <a:ext cx="1360714" cy="544286"/>
        </a:xfrm>
        <a:prstGeom prst="rect">
          <a:avLst/>
        </a:prstGeom>
        <a:solidFill>
          <a:schemeClr val="tx1">
            <a:lumMod val="95000"/>
            <a:lumOff val="5000"/>
            <a:alpha val="99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cs-CZ" sz="1100" b="1"/>
            <a:t>PROBLEM</a:t>
          </a:r>
          <a:r>
            <a:rPr lang="cs-CZ" sz="1100" b="1" baseline="0"/>
            <a:t> 1</a:t>
          </a:r>
          <a:endParaRPr lang="en-US" sz="1100" b="1"/>
        </a:p>
      </xdr:txBody>
    </xdr:sp>
    <xdr:clientData/>
  </xdr:twoCellAnchor>
  <xdr:twoCellAnchor>
    <xdr:from>
      <xdr:col>0</xdr:col>
      <xdr:colOff>127000</xdr:colOff>
      <xdr:row>4</xdr:row>
      <xdr:rowOff>168470</xdr:rowOff>
    </xdr:from>
    <xdr:to>
      <xdr:col>0</xdr:col>
      <xdr:colOff>1487714</xdr:colOff>
      <xdr:row>7</xdr:row>
      <xdr:rowOff>141256</xdr:rowOff>
    </xdr:to>
    <xdr:sp macro="" textlink="">
      <xdr:nvSpPr>
        <xdr:cNvPr id="4" name="Obdélník 3">
          <a:hlinkClick xmlns:r="http://schemas.openxmlformats.org/officeDocument/2006/relationships" r:id="rId2"/>
          <a:extLst>
            <a:ext uri="{FF2B5EF4-FFF2-40B4-BE49-F238E27FC236}">
              <a16:creationId xmlns:a16="http://schemas.microsoft.com/office/drawing/2014/main" id="{31E5E34B-3465-741C-791A-F19E9817D13C}"/>
            </a:ext>
          </a:extLst>
        </xdr:cNvPr>
        <xdr:cNvSpPr/>
      </xdr:nvSpPr>
      <xdr:spPr>
        <a:xfrm>
          <a:off x="127000" y="894184"/>
          <a:ext cx="1360714" cy="544286"/>
        </a:xfrm>
        <a:prstGeom prst="rect">
          <a:avLst/>
        </a:prstGeom>
        <a:solidFill>
          <a:schemeClr val="tx1">
            <a:lumMod val="95000"/>
            <a:lumOff val="5000"/>
            <a:alpha val="99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cs-CZ" sz="1100" b="1"/>
            <a:t>SOLUTION</a:t>
          </a:r>
          <a:r>
            <a:rPr lang="cs-CZ" sz="1100" b="1" baseline="0"/>
            <a:t> 1</a:t>
          </a:r>
          <a:endParaRPr lang="en-US" sz="1100" b="1"/>
        </a:p>
      </xdr:txBody>
    </xdr:sp>
    <xdr:clientData/>
  </xdr:twoCellAnchor>
  <xdr:twoCellAnchor>
    <xdr:from>
      <xdr:col>0</xdr:col>
      <xdr:colOff>127000</xdr:colOff>
      <xdr:row>8</xdr:row>
      <xdr:rowOff>137368</xdr:rowOff>
    </xdr:from>
    <xdr:to>
      <xdr:col>0</xdr:col>
      <xdr:colOff>1487714</xdr:colOff>
      <xdr:row>11</xdr:row>
      <xdr:rowOff>137368</xdr:rowOff>
    </xdr:to>
    <xdr:sp macro="" textlink="">
      <xdr:nvSpPr>
        <xdr:cNvPr id="5" name="Obdélník 4">
          <a:hlinkClick xmlns:r="http://schemas.openxmlformats.org/officeDocument/2006/relationships" r:id="rId3"/>
          <a:extLst>
            <a:ext uri="{FF2B5EF4-FFF2-40B4-BE49-F238E27FC236}">
              <a16:creationId xmlns:a16="http://schemas.microsoft.com/office/drawing/2014/main" id="{A4BB35F7-4014-AAF5-DA5A-B593BE55A741}"/>
            </a:ext>
          </a:extLst>
        </xdr:cNvPr>
        <xdr:cNvSpPr/>
      </xdr:nvSpPr>
      <xdr:spPr>
        <a:xfrm>
          <a:off x="127000" y="1616011"/>
          <a:ext cx="1360714" cy="544286"/>
        </a:xfrm>
        <a:prstGeom prst="rect">
          <a:avLst/>
        </a:prstGeom>
        <a:solidFill>
          <a:schemeClr val="tx1">
            <a:lumMod val="95000"/>
            <a:lumOff val="5000"/>
            <a:alpha val="99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cs-CZ" sz="1100" b="1"/>
            <a:t>PROBLEM</a:t>
          </a:r>
          <a:r>
            <a:rPr lang="cs-CZ" sz="1100" b="1" baseline="0"/>
            <a:t> 2</a:t>
          </a:r>
          <a:endParaRPr lang="en-US" sz="1100" b="1"/>
        </a:p>
      </xdr:txBody>
    </xdr:sp>
    <xdr:clientData/>
  </xdr:twoCellAnchor>
  <xdr:twoCellAnchor>
    <xdr:from>
      <xdr:col>0</xdr:col>
      <xdr:colOff>127000</xdr:colOff>
      <xdr:row>12</xdr:row>
      <xdr:rowOff>133481</xdr:rowOff>
    </xdr:from>
    <xdr:to>
      <xdr:col>0</xdr:col>
      <xdr:colOff>1487714</xdr:colOff>
      <xdr:row>15</xdr:row>
      <xdr:rowOff>133481</xdr:rowOff>
    </xdr:to>
    <xdr:sp macro="" textlink="">
      <xdr:nvSpPr>
        <xdr:cNvPr id="6" name="Obdélník 5">
          <a:hlinkClick xmlns:r="http://schemas.openxmlformats.org/officeDocument/2006/relationships" r:id="rId4"/>
          <a:extLst>
            <a:ext uri="{FF2B5EF4-FFF2-40B4-BE49-F238E27FC236}">
              <a16:creationId xmlns:a16="http://schemas.microsoft.com/office/drawing/2014/main" id="{2F045981-032B-41B8-8135-745FCDBD88B9}"/>
            </a:ext>
          </a:extLst>
        </xdr:cNvPr>
        <xdr:cNvSpPr/>
      </xdr:nvSpPr>
      <xdr:spPr>
        <a:xfrm>
          <a:off x="127000" y="2337838"/>
          <a:ext cx="1360714" cy="544286"/>
        </a:xfrm>
        <a:prstGeom prst="rect">
          <a:avLst/>
        </a:prstGeom>
        <a:solidFill>
          <a:schemeClr val="tx1">
            <a:lumMod val="95000"/>
            <a:lumOff val="5000"/>
            <a:alpha val="99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cs-CZ" sz="1100" b="1"/>
            <a:t>SOLUTION</a:t>
          </a:r>
          <a:r>
            <a:rPr lang="cs-CZ" sz="1100" b="1" baseline="0"/>
            <a:t> 2</a:t>
          </a:r>
          <a:endParaRPr lang="en-US" sz="1100" b="1"/>
        </a:p>
      </xdr:txBody>
    </xdr:sp>
    <xdr:clientData/>
  </xdr:twoCellAnchor>
  <xdr:twoCellAnchor>
    <xdr:from>
      <xdr:col>0</xdr:col>
      <xdr:colOff>127000</xdr:colOff>
      <xdr:row>16</xdr:row>
      <xdr:rowOff>129594</xdr:rowOff>
    </xdr:from>
    <xdr:to>
      <xdr:col>0</xdr:col>
      <xdr:colOff>1487714</xdr:colOff>
      <xdr:row>19</xdr:row>
      <xdr:rowOff>129594</xdr:rowOff>
    </xdr:to>
    <xdr:sp macro="" textlink="">
      <xdr:nvSpPr>
        <xdr:cNvPr id="7" name="Obdélník 6">
          <a:hlinkClick xmlns:r="http://schemas.openxmlformats.org/officeDocument/2006/relationships" r:id="rId5"/>
          <a:extLst>
            <a:ext uri="{FF2B5EF4-FFF2-40B4-BE49-F238E27FC236}">
              <a16:creationId xmlns:a16="http://schemas.microsoft.com/office/drawing/2014/main" id="{CD182186-F902-1304-59AD-07FB30008632}"/>
            </a:ext>
          </a:extLst>
        </xdr:cNvPr>
        <xdr:cNvSpPr/>
      </xdr:nvSpPr>
      <xdr:spPr>
        <a:xfrm>
          <a:off x="127000" y="3059665"/>
          <a:ext cx="1360714" cy="544286"/>
        </a:xfrm>
        <a:prstGeom prst="rect">
          <a:avLst/>
        </a:prstGeom>
        <a:solidFill>
          <a:schemeClr val="tx1">
            <a:lumMod val="95000"/>
            <a:lumOff val="5000"/>
            <a:alpha val="99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cs-CZ" sz="1100" b="1" baseline="0"/>
            <a:t>PROBLEM 3</a:t>
          </a:r>
          <a:endParaRPr lang="en-US" sz="1100" b="1"/>
        </a:p>
      </xdr:txBody>
    </xdr:sp>
    <xdr:clientData/>
  </xdr:twoCellAnchor>
  <xdr:twoCellAnchor>
    <xdr:from>
      <xdr:col>0</xdr:col>
      <xdr:colOff>127000</xdr:colOff>
      <xdr:row>20</xdr:row>
      <xdr:rowOff>125706</xdr:rowOff>
    </xdr:from>
    <xdr:to>
      <xdr:col>0</xdr:col>
      <xdr:colOff>1487714</xdr:colOff>
      <xdr:row>23</xdr:row>
      <xdr:rowOff>125707</xdr:rowOff>
    </xdr:to>
    <xdr:sp macro="" textlink="">
      <xdr:nvSpPr>
        <xdr:cNvPr id="8" name="Obdélník 7">
          <a:hlinkClick xmlns:r="http://schemas.openxmlformats.org/officeDocument/2006/relationships" r:id="rId6"/>
          <a:extLst>
            <a:ext uri="{FF2B5EF4-FFF2-40B4-BE49-F238E27FC236}">
              <a16:creationId xmlns:a16="http://schemas.microsoft.com/office/drawing/2014/main" id="{878D0EF5-A465-931F-488A-4250F9671AB7}"/>
            </a:ext>
          </a:extLst>
        </xdr:cNvPr>
        <xdr:cNvSpPr/>
      </xdr:nvSpPr>
      <xdr:spPr>
        <a:xfrm>
          <a:off x="127000" y="3781492"/>
          <a:ext cx="1360714" cy="544286"/>
        </a:xfrm>
        <a:prstGeom prst="rect">
          <a:avLst/>
        </a:prstGeom>
        <a:solidFill>
          <a:schemeClr val="tx1">
            <a:lumMod val="95000"/>
            <a:lumOff val="5000"/>
            <a:alpha val="99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cs-CZ" sz="1100" b="1">
              <a:solidFill>
                <a:schemeClr val="lt1"/>
              </a:solidFill>
              <a:effectLst/>
              <a:latin typeface="+mn-lt"/>
              <a:ea typeface="+mn-ea"/>
              <a:cs typeface="+mn-cs"/>
            </a:rPr>
            <a:t>SOLUTION</a:t>
          </a:r>
          <a:r>
            <a:rPr lang="cs-CZ" sz="1100" b="1" baseline="0"/>
            <a:t> 3</a:t>
          </a:r>
          <a:endParaRPr lang="en-US" sz="1100" b="1"/>
        </a:p>
      </xdr:txBody>
    </xdr:sp>
    <xdr:clientData/>
  </xdr:twoCellAnchor>
  <xdr:twoCellAnchor>
    <xdr:from>
      <xdr:col>0</xdr:col>
      <xdr:colOff>127000</xdr:colOff>
      <xdr:row>24</xdr:row>
      <xdr:rowOff>121819</xdr:rowOff>
    </xdr:from>
    <xdr:to>
      <xdr:col>0</xdr:col>
      <xdr:colOff>1487714</xdr:colOff>
      <xdr:row>27</xdr:row>
      <xdr:rowOff>121819</xdr:rowOff>
    </xdr:to>
    <xdr:sp macro="" textlink="">
      <xdr:nvSpPr>
        <xdr:cNvPr id="9" name="Obdélník 8">
          <a:hlinkClick xmlns:r="http://schemas.openxmlformats.org/officeDocument/2006/relationships" r:id="rId7"/>
          <a:extLst>
            <a:ext uri="{FF2B5EF4-FFF2-40B4-BE49-F238E27FC236}">
              <a16:creationId xmlns:a16="http://schemas.microsoft.com/office/drawing/2014/main" id="{3C031F5A-5B81-EB28-17DB-3414C3BE3F17}"/>
            </a:ext>
          </a:extLst>
        </xdr:cNvPr>
        <xdr:cNvSpPr/>
      </xdr:nvSpPr>
      <xdr:spPr>
        <a:xfrm>
          <a:off x="127000" y="4503319"/>
          <a:ext cx="1360714" cy="544286"/>
        </a:xfrm>
        <a:prstGeom prst="rect">
          <a:avLst/>
        </a:prstGeom>
        <a:solidFill>
          <a:schemeClr val="tx1">
            <a:lumMod val="95000"/>
            <a:lumOff val="5000"/>
            <a:alpha val="99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cs-CZ" sz="1100" b="1"/>
            <a:t>PROBLEM</a:t>
          </a:r>
          <a:r>
            <a:rPr lang="cs-CZ" sz="1100" b="1" baseline="0"/>
            <a:t> 4</a:t>
          </a:r>
          <a:endParaRPr lang="en-US" sz="1100" b="1"/>
        </a:p>
      </xdr:txBody>
    </xdr:sp>
    <xdr:clientData/>
  </xdr:twoCellAnchor>
  <xdr:twoCellAnchor>
    <xdr:from>
      <xdr:col>0</xdr:col>
      <xdr:colOff>127000</xdr:colOff>
      <xdr:row>28</xdr:row>
      <xdr:rowOff>117929</xdr:rowOff>
    </xdr:from>
    <xdr:to>
      <xdr:col>0</xdr:col>
      <xdr:colOff>1487714</xdr:colOff>
      <xdr:row>31</xdr:row>
      <xdr:rowOff>117929</xdr:rowOff>
    </xdr:to>
    <xdr:sp macro="" textlink="">
      <xdr:nvSpPr>
        <xdr:cNvPr id="10" name="Obdélník 9">
          <a:hlinkClick xmlns:r="http://schemas.openxmlformats.org/officeDocument/2006/relationships" r:id="rId8"/>
          <a:extLst>
            <a:ext uri="{FF2B5EF4-FFF2-40B4-BE49-F238E27FC236}">
              <a16:creationId xmlns:a16="http://schemas.microsoft.com/office/drawing/2014/main" id="{9A6AB4C5-85EB-7F52-1ED4-9E8B2B908408}"/>
            </a:ext>
          </a:extLst>
        </xdr:cNvPr>
        <xdr:cNvSpPr/>
      </xdr:nvSpPr>
      <xdr:spPr>
        <a:xfrm>
          <a:off x="127000" y="5225143"/>
          <a:ext cx="1360714" cy="544286"/>
        </a:xfrm>
        <a:prstGeom prst="rect">
          <a:avLst/>
        </a:prstGeom>
        <a:solidFill>
          <a:schemeClr val="tx1">
            <a:lumMod val="95000"/>
            <a:lumOff val="5000"/>
            <a:alpha val="99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cs-CZ" sz="1100" b="1"/>
            <a:t>SOLUTION</a:t>
          </a:r>
          <a:r>
            <a:rPr lang="cs-CZ" sz="1100" b="1" baseline="0"/>
            <a:t> 4</a:t>
          </a:r>
          <a:endParaRPr lang="en-US" sz="1100" b="1"/>
        </a:p>
      </xdr:txBody>
    </xdr:sp>
    <xdr:clientData/>
  </xdr:twoCellAnchor>
  <xdr:twoCellAnchor>
    <xdr:from>
      <xdr:col>0</xdr:col>
      <xdr:colOff>127000</xdr:colOff>
      <xdr:row>32</xdr:row>
      <xdr:rowOff>99785</xdr:rowOff>
    </xdr:from>
    <xdr:to>
      <xdr:col>0</xdr:col>
      <xdr:colOff>1487714</xdr:colOff>
      <xdr:row>35</xdr:row>
      <xdr:rowOff>99786</xdr:rowOff>
    </xdr:to>
    <xdr:sp macro="" textlink="">
      <xdr:nvSpPr>
        <xdr:cNvPr id="11" name="Obdélník 10">
          <a:hlinkClick xmlns:r="http://schemas.openxmlformats.org/officeDocument/2006/relationships" r:id="rId9"/>
          <a:extLst>
            <a:ext uri="{FF2B5EF4-FFF2-40B4-BE49-F238E27FC236}">
              <a16:creationId xmlns:a16="http://schemas.microsoft.com/office/drawing/2014/main" id="{E369BD31-87DF-E40C-C40E-69C4821A347C}"/>
            </a:ext>
          </a:extLst>
        </xdr:cNvPr>
        <xdr:cNvSpPr/>
      </xdr:nvSpPr>
      <xdr:spPr>
        <a:xfrm>
          <a:off x="127000" y="5932714"/>
          <a:ext cx="1360714" cy="544286"/>
        </a:xfrm>
        <a:prstGeom prst="rect">
          <a:avLst/>
        </a:prstGeom>
        <a:solidFill>
          <a:srgbClr val="C00000">
            <a:alpha val="99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cs-CZ" sz="1100" b="1"/>
            <a:t>DAŇOVÁ</a:t>
          </a:r>
        </a:p>
        <a:p>
          <a:pPr algn="ctr"/>
          <a:r>
            <a:rPr lang="cs-CZ" sz="1100" b="1"/>
            <a:t>VSUVKA</a:t>
          </a:r>
          <a:endParaRPr lang="en-US" sz="1100" b="1"/>
        </a:p>
      </xdr:txBody>
    </xdr:sp>
    <xdr:clientData/>
  </xdr:twoCellAnchor>
  <xdr:twoCellAnchor editAs="oneCell">
    <xdr:from>
      <xdr:col>15</xdr:col>
      <xdr:colOff>300743</xdr:colOff>
      <xdr:row>2</xdr:row>
      <xdr:rowOff>63661</xdr:rowOff>
    </xdr:from>
    <xdr:to>
      <xdr:col>20</xdr:col>
      <xdr:colOff>51761</xdr:colOff>
      <xdr:row>26</xdr:row>
      <xdr:rowOff>6937</xdr:rowOff>
    </xdr:to>
    <xdr:pic>
      <xdr:nvPicPr>
        <xdr:cNvPr id="12" name="Obrázek 11" descr="Historic Framed Print, Women! Help Americas sons win the war. Buy U.S. Government  Bonds 2nd Liberty Loan of 1917. R.H. Porteus., 17-7/8&quot; x 21-7/8&quot; -  Walmart.com">
          <a:extLst>
            <a:ext uri="{FF2B5EF4-FFF2-40B4-BE49-F238E27FC236}">
              <a16:creationId xmlns:a16="http://schemas.microsoft.com/office/drawing/2014/main" id="{C60FAF4B-BB71-902E-E8F1-CAE3943707A3}"/>
            </a:ext>
          </a:extLst>
        </xdr:cNvPr>
        <xdr:cNvPicPr>
          <a:picLocks noChangeAspect="1" noChangeArrowheads="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r="7452" b="4847"/>
        <a:stretch>
          <a:fillRect/>
        </a:stretch>
      </xdr:blipFill>
      <xdr:spPr bwMode="auto">
        <a:xfrm>
          <a:off x="10451672" y="426518"/>
          <a:ext cx="2789946" cy="43247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8</xdr:col>
      <xdr:colOff>254000</xdr:colOff>
      <xdr:row>7</xdr:row>
      <xdr:rowOff>127000</xdr:rowOff>
    </xdr:to>
    <xdr:sp macro="" textlink="">
      <xdr:nvSpPr>
        <xdr:cNvPr id="2" name="TextovéPole 1">
          <a:extLst>
            <a:ext uri="{FF2B5EF4-FFF2-40B4-BE49-F238E27FC236}">
              <a16:creationId xmlns:a16="http://schemas.microsoft.com/office/drawing/2014/main" id="{03E303FF-0C04-4D5F-A9A8-3F198A489DFD}"/>
            </a:ext>
          </a:extLst>
        </xdr:cNvPr>
        <xdr:cNvSpPr txBox="1"/>
      </xdr:nvSpPr>
      <xdr:spPr>
        <a:xfrm>
          <a:off x="0" y="0"/>
          <a:ext cx="8225118" cy="8740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100" b="1" u="sng"/>
            <a:t>PROBLEM</a:t>
          </a:r>
          <a:r>
            <a:rPr lang="cs-CZ" sz="1100" b="1" u="sng" baseline="0"/>
            <a:t> 1</a:t>
          </a:r>
        </a:p>
        <a:p>
          <a:r>
            <a:rPr lang="cs-CZ" sz="1100"/>
            <a:t>Compute the both</a:t>
          </a:r>
          <a:r>
            <a:rPr lang="cs-CZ" sz="1100" baseline="0"/>
            <a:t> the dirty and the clean price of an inflation-linked German Federal bond maturing in 2030 (abstracting from bid-ask spread) on the settlement date. Consider the 2014 price level (multiply by an inflation coefficient of 1) and 2026 price level (multiply by an inflation coefficient of 1.29437)</a:t>
          </a:r>
        </a:p>
        <a:p>
          <a:endParaRPr lang="cs-CZ" sz="1100" baseline="0"/>
        </a:p>
      </xdr:txBody>
    </xdr:sp>
    <xdr:clientData/>
  </xdr:twoCellAnchor>
  <xdr:twoCellAnchor>
    <xdr:from>
      <xdr:col>0</xdr:col>
      <xdr:colOff>0</xdr:colOff>
      <xdr:row>6</xdr:row>
      <xdr:rowOff>171823</xdr:rowOff>
    </xdr:from>
    <xdr:to>
      <xdr:col>6</xdr:col>
      <xdr:colOff>59764</xdr:colOff>
      <xdr:row>10</xdr:row>
      <xdr:rowOff>67235</xdr:rowOff>
    </xdr:to>
    <xdr:sp macro="" textlink="">
      <xdr:nvSpPr>
        <xdr:cNvPr id="3" name="TextovéPole 2">
          <a:hlinkClick xmlns:r="http://schemas.openxmlformats.org/officeDocument/2006/relationships" r:id="rId1"/>
          <a:extLst>
            <a:ext uri="{FF2B5EF4-FFF2-40B4-BE49-F238E27FC236}">
              <a16:creationId xmlns:a16="http://schemas.microsoft.com/office/drawing/2014/main" id="{A4A6F3F5-DB30-4F48-8FA9-B58C86FA0AB5}"/>
            </a:ext>
          </a:extLst>
        </xdr:cNvPr>
        <xdr:cNvSpPr txBox="1"/>
      </xdr:nvSpPr>
      <xdr:spPr>
        <a:xfrm>
          <a:off x="0" y="732117"/>
          <a:ext cx="6805705" cy="6424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100" baseline="0">
              <a:solidFill>
                <a:schemeClr val="dk1"/>
              </a:solidFill>
              <a:effectLst/>
              <a:latin typeface="+mn-lt"/>
              <a:ea typeface="+mn-ea"/>
              <a:cs typeface="+mn-cs"/>
            </a:rPr>
            <a:t>Data source:</a:t>
          </a:r>
          <a:endParaRPr lang="en-US">
            <a:effectLst/>
          </a:endParaRPr>
        </a:p>
        <a:p>
          <a:r>
            <a:rPr lang="en-US" sz="1100" b="0" i="0" u="sng">
              <a:solidFill>
                <a:srgbClr val="0000FF"/>
              </a:solidFill>
              <a:effectLst/>
              <a:latin typeface="+mn-lt"/>
              <a:ea typeface="+mn-ea"/>
              <a:cs typeface="+mn-cs"/>
            </a:rPr>
            <a:t>https://www.deutsche-finanzagentur.de/en/federal-securities/factsheet/isin/DE0001030559?cHash=f50ce7c312f099a9c4fb322168c0c5e3</a:t>
          </a:r>
          <a:r>
            <a:rPr lang="en-US" sz="1100">
              <a:solidFill>
                <a:srgbClr val="0000FF"/>
              </a:solidFill>
              <a:effectLst/>
              <a:latin typeface="+mn-lt"/>
              <a:ea typeface="+mn-ea"/>
              <a:cs typeface="+mn-cs"/>
            </a:rPr>
            <a:t> </a:t>
          </a:r>
          <a:endParaRPr lang="en-US">
            <a:solidFill>
              <a:srgbClr val="0000FF"/>
            </a:solidFill>
            <a:effectLst/>
          </a:endParaRPr>
        </a:p>
      </xdr:txBody>
    </xdr:sp>
    <xdr:clientData/>
  </xdr:twoCellAnchor>
  <xdr:twoCellAnchor>
    <xdr:from>
      <xdr:col>1</xdr:col>
      <xdr:colOff>29881</xdr:colOff>
      <xdr:row>0</xdr:row>
      <xdr:rowOff>59764</xdr:rowOff>
    </xdr:from>
    <xdr:to>
      <xdr:col>1</xdr:col>
      <xdr:colOff>1128058</xdr:colOff>
      <xdr:row>2</xdr:row>
      <xdr:rowOff>179294</xdr:rowOff>
    </xdr:to>
    <xdr:sp macro="" textlink="">
      <xdr:nvSpPr>
        <xdr:cNvPr id="26" name="Obdélník 25">
          <a:hlinkClick xmlns:r="http://schemas.openxmlformats.org/officeDocument/2006/relationships" r:id="rId2"/>
          <a:extLst>
            <a:ext uri="{FF2B5EF4-FFF2-40B4-BE49-F238E27FC236}">
              <a16:creationId xmlns:a16="http://schemas.microsoft.com/office/drawing/2014/main" id="{8D5D292F-3469-549C-0C23-047256D1C918}"/>
            </a:ext>
          </a:extLst>
        </xdr:cNvPr>
        <xdr:cNvSpPr/>
      </xdr:nvSpPr>
      <xdr:spPr>
        <a:xfrm>
          <a:off x="126999" y="59764"/>
          <a:ext cx="1098177" cy="493059"/>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cs-CZ" sz="1100" b="1"/>
            <a:t>BACK</a:t>
          </a:r>
          <a:r>
            <a:rPr lang="cs-CZ" sz="1100" b="1" baseline="0"/>
            <a:t> TO </a:t>
          </a:r>
          <a:r>
            <a:rPr lang="cs-CZ" sz="1100" b="1"/>
            <a:t>MENU</a:t>
          </a:r>
          <a:endParaRPr lang="en-US"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xdr:row>
      <xdr:rowOff>0</xdr:rowOff>
    </xdr:from>
    <xdr:to>
      <xdr:col>6</xdr:col>
      <xdr:colOff>59764</xdr:colOff>
      <xdr:row>7</xdr:row>
      <xdr:rowOff>127000</xdr:rowOff>
    </xdr:to>
    <xdr:sp macro="" textlink="">
      <xdr:nvSpPr>
        <xdr:cNvPr id="16" name="TextovéPole 15">
          <a:extLst>
            <a:ext uri="{FF2B5EF4-FFF2-40B4-BE49-F238E27FC236}">
              <a16:creationId xmlns:a16="http://schemas.microsoft.com/office/drawing/2014/main" id="{393EF085-DB65-6064-8188-5D470522A8F7}"/>
            </a:ext>
          </a:extLst>
        </xdr:cNvPr>
        <xdr:cNvSpPr txBox="1"/>
      </xdr:nvSpPr>
      <xdr:spPr>
        <a:xfrm>
          <a:off x="0" y="0"/>
          <a:ext cx="5147235" cy="8740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100" b="1" u="sng"/>
            <a:t>PROBLEM</a:t>
          </a:r>
          <a:r>
            <a:rPr lang="cs-CZ" sz="1100" b="1" u="sng" baseline="0"/>
            <a:t> 1</a:t>
          </a:r>
        </a:p>
        <a:p>
          <a:r>
            <a:rPr lang="cs-CZ" sz="1100"/>
            <a:t>Below, we demonstrate</a:t>
          </a:r>
          <a:r>
            <a:rPr lang="cs-CZ" sz="1100" baseline="0"/>
            <a:t> the distinction between the price quoted by a broker, and the true amount to purchase an inflation-linked German Federal bond maturing in 2030 (abstracting from bid-ask spread) on the settlement date.</a:t>
          </a:r>
        </a:p>
        <a:p>
          <a:endParaRPr lang="cs-CZ" sz="1100" baseline="0"/>
        </a:p>
      </xdr:txBody>
    </xdr:sp>
    <xdr:clientData/>
  </xdr:twoCellAnchor>
  <xdr:twoCellAnchor>
    <xdr:from>
      <xdr:col>0</xdr:col>
      <xdr:colOff>0</xdr:colOff>
      <xdr:row>6</xdr:row>
      <xdr:rowOff>171823</xdr:rowOff>
    </xdr:from>
    <xdr:to>
      <xdr:col>6</xdr:col>
      <xdr:colOff>59764</xdr:colOff>
      <xdr:row>10</xdr:row>
      <xdr:rowOff>67235</xdr:rowOff>
    </xdr:to>
    <xdr:sp macro="" textlink="">
      <xdr:nvSpPr>
        <xdr:cNvPr id="17" name="TextovéPole 16">
          <a:hlinkClick xmlns:r="http://schemas.openxmlformats.org/officeDocument/2006/relationships" r:id="rId1"/>
          <a:extLst>
            <a:ext uri="{FF2B5EF4-FFF2-40B4-BE49-F238E27FC236}">
              <a16:creationId xmlns:a16="http://schemas.microsoft.com/office/drawing/2014/main" id="{D01785A1-53B1-2537-FF52-B8071B59805E}"/>
            </a:ext>
          </a:extLst>
        </xdr:cNvPr>
        <xdr:cNvSpPr txBox="1"/>
      </xdr:nvSpPr>
      <xdr:spPr>
        <a:xfrm>
          <a:off x="0" y="732117"/>
          <a:ext cx="5147235" cy="6424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100" baseline="0">
              <a:solidFill>
                <a:schemeClr val="dk1"/>
              </a:solidFill>
              <a:effectLst/>
              <a:latin typeface="+mn-lt"/>
              <a:ea typeface="+mn-ea"/>
              <a:cs typeface="+mn-cs"/>
            </a:rPr>
            <a:t>Data source:</a:t>
          </a:r>
          <a:endParaRPr lang="en-US">
            <a:effectLst/>
          </a:endParaRPr>
        </a:p>
        <a:p>
          <a:r>
            <a:rPr lang="en-US" sz="1100" b="0" i="0" u="sng">
              <a:solidFill>
                <a:srgbClr val="0000FF"/>
              </a:solidFill>
              <a:effectLst/>
              <a:latin typeface="+mn-lt"/>
              <a:ea typeface="+mn-ea"/>
              <a:cs typeface="+mn-cs"/>
            </a:rPr>
            <a:t>https://www.deutsche-finanzagentur.de/en/federal-securities/factsheet/isin/DE0001030559?cHash=f50ce7c312f099a9c4fb322168c0c5e3</a:t>
          </a:r>
          <a:r>
            <a:rPr lang="en-US" sz="1100">
              <a:solidFill>
                <a:srgbClr val="0000FF"/>
              </a:solidFill>
              <a:effectLst/>
              <a:latin typeface="+mn-lt"/>
              <a:ea typeface="+mn-ea"/>
              <a:cs typeface="+mn-cs"/>
            </a:rPr>
            <a:t> </a:t>
          </a:r>
          <a:endParaRPr lang="en-US">
            <a:solidFill>
              <a:srgbClr val="0000FF"/>
            </a:solidFill>
            <a:effectLst/>
          </a:endParaRPr>
        </a:p>
      </xdr:txBody>
    </xdr:sp>
    <xdr:clientData/>
  </xdr:twoCellAnchor>
  <xdr:twoCellAnchor>
    <xdr:from>
      <xdr:col>1</xdr:col>
      <xdr:colOff>77457</xdr:colOff>
      <xdr:row>43</xdr:row>
      <xdr:rowOff>56076</xdr:rowOff>
    </xdr:from>
    <xdr:to>
      <xdr:col>12</xdr:col>
      <xdr:colOff>112057</xdr:colOff>
      <xdr:row>68</xdr:row>
      <xdr:rowOff>52804</xdr:rowOff>
    </xdr:to>
    <xdr:grpSp>
      <xdr:nvGrpSpPr>
        <xdr:cNvPr id="6" name="Group 5">
          <a:extLst>
            <a:ext uri="{FF2B5EF4-FFF2-40B4-BE49-F238E27FC236}">
              <a16:creationId xmlns:a16="http://schemas.microsoft.com/office/drawing/2014/main" id="{42ABF41F-A94B-E4B5-7B24-CFDF1B1DD338}"/>
            </a:ext>
          </a:extLst>
        </xdr:cNvPr>
        <xdr:cNvGrpSpPr/>
      </xdr:nvGrpSpPr>
      <xdr:grpSpPr>
        <a:xfrm>
          <a:off x="174575" y="8131782"/>
          <a:ext cx="8812541" cy="4665846"/>
          <a:chOff x="152164" y="7362312"/>
          <a:chExt cx="8812541" cy="4665846"/>
        </a:xfrm>
      </xdr:grpSpPr>
      <xdr:grpSp>
        <xdr:nvGrpSpPr>
          <xdr:cNvPr id="4" name="Group 3">
            <a:extLst>
              <a:ext uri="{FF2B5EF4-FFF2-40B4-BE49-F238E27FC236}">
                <a16:creationId xmlns:a16="http://schemas.microsoft.com/office/drawing/2014/main" id="{66AB3DE3-E807-90C2-B012-C004C96D5140}"/>
              </a:ext>
            </a:extLst>
          </xdr:cNvPr>
          <xdr:cNvGrpSpPr/>
        </xdr:nvGrpSpPr>
        <xdr:grpSpPr>
          <a:xfrm>
            <a:off x="152164" y="7362312"/>
            <a:ext cx="8812541" cy="4665846"/>
            <a:chOff x="152164" y="7362312"/>
            <a:chExt cx="8812541" cy="4665846"/>
          </a:xfrm>
        </xdr:grpSpPr>
        <xdr:pic>
          <xdr:nvPicPr>
            <xdr:cNvPr id="2" name="Picture 1">
              <a:extLst>
                <a:ext uri="{FF2B5EF4-FFF2-40B4-BE49-F238E27FC236}">
                  <a16:creationId xmlns:a16="http://schemas.microsoft.com/office/drawing/2014/main" id="{61D3F142-39AB-F234-171B-1F5A8929B03B}"/>
                </a:ext>
              </a:extLst>
            </xdr:cNvPr>
            <xdr:cNvPicPr>
              <a:picLocks noChangeAspect="1"/>
            </xdr:cNvPicPr>
          </xdr:nvPicPr>
          <xdr:blipFill>
            <a:blip xmlns:r="http://schemas.openxmlformats.org/officeDocument/2006/relationships" r:embed="rId2"/>
            <a:stretch>
              <a:fillRect/>
            </a:stretch>
          </xdr:blipFill>
          <xdr:spPr>
            <a:xfrm>
              <a:off x="152164" y="7362312"/>
              <a:ext cx="8812541" cy="4665846"/>
            </a:xfrm>
            <a:prstGeom prst="rect">
              <a:avLst/>
            </a:prstGeom>
          </xdr:spPr>
        </xdr:pic>
        <xdr:sp macro="" textlink="">
          <xdr:nvSpPr>
            <xdr:cNvPr id="3" name="Rectangle 2">
              <a:extLst>
                <a:ext uri="{FF2B5EF4-FFF2-40B4-BE49-F238E27FC236}">
                  <a16:creationId xmlns:a16="http://schemas.microsoft.com/office/drawing/2014/main" id="{BF930585-B80C-9107-1C45-363EA9E12B45}"/>
                </a:ext>
              </a:extLst>
            </xdr:cNvPr>
            <xdr:cNvSpPr/>
          </xdr:nvSpPr>
          <xdr:spPr>
            <a:xfrm>
              <a:off x="7702176" y="11377706"/>
              <a:ext cx="582706" cy="194235"/>
            </a:xfrm>
            <a:prstGeom prst="rect">
              <a:avLst/>
            </a:prstGeom>
            <a:solidFill>
              <a:srgbClr val="FFFF00">
                <a:alpha val="12000"/>
              </a:srgbClr>
            </a:solidFill>
            <a:ln w="254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5" name="Rectangle 4">
            <a:extLst>
              <a:ext uri="{FF2B5EF4-FFF2-40B4-BE49-F238E27FC236}">
                <a16:creationId xmlns:a16="http://schemas.microsoft.com/office/drawing/2014/main" id="{EFDB2D6A-9092-2314-7ED6-648621087347}"/>
              </a:ext>
            </a:extLst>
          </xdr:cNvPr>
          <xdr:cNvSpPr/>
        </xdr:nvSpPr>
        <xdr:spPr>
          <a:xfrm>
            <a:off x="5983942" y="9427883"/>
            <a:ext cx="679822" cy="231588"/>
          </a:xfrm>
          <a:prstGeom prst="rect">
            <a:avLst/>
          </a:prstGeom>
          <a:solidFill>
            <a:srgbClr val="FFCCCC">
              <a:alpha val="25000"/>
            </a:srgbClr>
          </a:solidFill>
          <a:ln w="25400">
            <a:solidFill>
              <a:srgbClr val="FFCCC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179294</xdr:colOff>
      <xdr:row>22</xdr:row>
      <xdr:rowOff>112058</xdr:rowOff>
    </xdr:from>
    <xdr:to>
      <xdr:col>5</xdr:col>
      <xdr:colOff>440765</xdr:colOff>
      <xdr:row>22</xdr:row>
      <xdr:rowOff>119528</xdr:rowOff>
    </xdr:to>
    <xdr:cxnSp macro="">
      <xdr:nvCxnSpPr>
        <xdr:cNvPr id="12" name="Straight Connector 11">
          <a:extLst>
            <a:ext uri="{FF2B5EF4-FFF2-40B4-BE49-F238E27FC236}">
              <a16:creationId xmlns:a16="http://schemas.microsoft.com/office/drawing/2014/main" id="{FC0B9B69-E9CF-0F94-91A9-095868FD0470}"/>
            </a:ext>
          </a:extLst>
        </xdr:cNvPr>
        <xdr:cNvCxnSpPr/>
      </xdr:nvCxnSpPr>
      <xdr:spPr>
        <a:xfrm rot="1200000" flipV="1">
          <a:off x="3541059" y="3682999"/>
          <a:ext cx="1486647" cy="7470"/>
        </a:xfrm>
        <a:prstGeom prst="line">
          <a:avLst/>
        </a:prstGeom>
        <a:ln w="6350">
          <a:solidFill>
            <a:srgbClr val="00206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179294</xdr:colOff>
      <xdr:row>19</xdr:row>
      <xdr:rowOff>164352</xdr:rowOff>
    </xdr:from>
    <xdr:to>
      <xdr:col>5</xdr:col>
      <xdr:colOff>440765</xdr:colOff>
      <xdr:row>19</xdr:row>
      <xdr:rowOff>171822</xdr:rowOff>
    </xdr:to>
    <xdr:cxnSp macro="">
      <xdr:nvCxnSpPr>
        <xdr:cNvPr id="14" name="Straight Connector 13">
          <a:extLst>
            <a:ext uri="{FF2B5EF4-FFF2-40B4-BE49-F238E27FC236}">
              <a16:creationId xmlns:a16="http://schemas.microsoft.com/office/drawing/2014/main" id="{8353164D-828F-43AE-212D-91CB821A52C8}"/>
            </a:ext>
          </a:extLst>
        </xdr:cNvPr>
        <xdr:cNvCxnSpPr/>
      </xdr:nvCxnSpPr>
      <xdr:spPr>
        <a:xfrm rot="-1200000" flipV="1">
          <a:off x="3541059" y="3174999"/>
          <a:ext cx="1486647" cy="7470"/>
        </a:xfrm>
        <a:prstGeom prst="line">
          <a:avLst/>
        </a:prstGeom>
        <a:ln w="6350">
          <a:solidFill>
            <a:srgbClr val="00206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156882</xdr:colOff>
      <xdr:row>15</xdr:row>
      <xdr:rowOff>22410</xdr:rowOff>
    </xdr:from>
    <xdr:to>
      <xdr:col>14</xdr:col>
      <xdr:colOff>328705</xdr:colOff>
      <xdr:row>28</xdr:row>
      <xdr:rowOff>14941</xdr:rowOff>
    </xdr:to>
    <xdr:sp macro="" textlink="">
      <xdr:nvSpPr>
        <xdr:cNvPr id="18" name="TextBox 17">
          <a:extLst>
            <a:ext uri="{FF2B5EF4-FFF2-40B4-BE49-F238E27FC236}">
              <a16:creationId xmlns:a16="http://schemas.microsoft.com/office/drawing/2014/main" id="{D8B49BF9-9F1E-9390-55CA-662B35EAB087}"/>
            </a:ext>
          </a:extLst>
        </xdr:cNvPr>
        <xdr:cNvSpPr txBox="1"/>
      </xdr:nvSpPr>
      <xdr:spPr>
        <a:xfrm>
          <a:off x="5356411" y="2271057"/>
          <a:ext cx="5072529" cy="245035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100" b="1" u="sng"/>
            <a:t>Inflation coefficient</a:t>
          </a:r>
          <a:r>
            <a:rPr lang="cs-CZ" sz="1100" baseline="0"/>
            <a:t>: reflects the inflation uplift = rise in consumer prices, measured by the cumulative change in </a:t>
          </a:r>
          <a:r>
            <a:rPr lang="cs-CZ" sz="1100" i="1" baseline="0"/>
            <a:t>the </a:t>
          </a:r>
          <a:r>
            <a:rPr lang="en-US" i="1"/>
            <a:t>Harmonised Index of Consumer Prices (HICP) in the Euro Zone – all items excluding tobacco</a:t>
          </a:r>
          <a:r>
            <a:rPr lang="cs-CZ" sz="1100" baseline="0"/>
            <a:t>, since the base date of 10.4.2014 for our bond, the coefficient is retrieved from sheet coefficient</a:t>
          </a:r>
        </a:p>
        <a:p>
          <a:r>
            <a:rPr lang="cs-CZ" sz="1100" b="1" u="sng" baseline="0"/>
            <a:t>Base date</a:t>
          </a:r>
          <a:r>
            <a:rPr lang="cs-CZ" sz="1100" baseline="0"/>
            <a:t>: the first day of the inflation uplift calculation = inflation coefficent equal to 1 on the base date, traditionally set approx. one year before the first coupon payment (distributed on 15.4.2015 in the example)</a:t>
          </a:r>
        </a:p>
        <a:p>
          <a:r>
            <a:rPr lang="cs-CZ" sz="1100" b="1" u="sng" baseline="0"/>
            <a:t>Coupon rate</a:t>
          </a:r>
          <a:r>
            <a:rPr lang="cs-CZ" sz="1100" baseline="0"/>
            <a:t>: fixed in real (inflation-adjusted), but variable in nominal terms (see sheet ILB Price for an illustration) </a:t>
          </a:r>
        </a:p>
        <a:p>
          <a:r>
            <a:rPr lang="cs-CZ" sz="1100" b="1" u="sng" baseline="0"/>
            <a:t>Settlement date</a:t>
          </a:r>
          <a:r>
            <a:rPr lang="cs-CZ" sz="1100" baseline="0"/>
            <a:t>: EU-standard for fixed income T+2 business days, the function handles weekends, but does not control for </a:t>
          </a:r>
          <a:r>
            <a:rPr lang="cs-CZ" sz="1100" baseline="0">
              <a:solidFill>
                <a:schemeClr val="dk1"/>
              </a:solidFill>
              <a:effectLst/>
              <a:latin typeface="+mn-lt"/>
              <a:ea typeface="+mn-ea"/>
              <a:cs typeface="+mn-cs"/>
            </a:rPr>
            <a:t>German</a:t>
          </a:r>
          <a:r>
            <a:rPr lang="cs-CZ" sz="1100" baseline="0"/>
            <a:t> federal holiday (no trading)</a:t>
          </a:r>
        </a:p>
        <a:p>
          <a:r>
            <a:rPr lang="cs-CZ" sz="1100" b="1" u="sng" baseline="0"/>
            <a:t>Distribution date</a:t>
          </a:r>
          <a:r>
            <a:rPr lang="cs-CZ" sz="1100" baseline="0"/>
            <a:t>: function handles the upcoming change of the date in April</a:t>
          </a:r>
        </a:p>
        <a:p>
          <a:r>
            <a:rPr lang="cs-CZ" sz="1100" b="1" u="sng" baseline="0"/>
            <a:t>Accrual period</a:t>
          </a:r>
          <a:r>
            <a:rPr lang="cs-CZ" sz="1100" baseline="0"/>
            <a:t>: function controls for the current distribution date (accrued interest of 0 on the day of a coupon payment)</a:t>
          </a:r>
        </a:p>
      </xdr:txBody>
    </xdr:sp>
    <xdr:clientData/>
  </xdr:twoCellAnchor>
  <xdr:twoCellAnchor>
    <xdr:from>
      <xdr:col>3</xdr:col>
      <xdr:colOff>179294</xdr:colOff>
      <xdr:row>29</xdr:row>
      <xdr:rowOff>37352</xdr:rowOff>
    </xdr:from>
    <xdr:to>
      <xdr:col>5</xdr:col>
      <xdr:colOff>440765</xdr:colOff>
      <xdr:row>29</xdr:row>
      <xdr:rowOff>44822</xdr:rowOff>
    </xdr:to>
    <xdr:cxnSp macro="">
      <xdr:nvCxnSpPr>
        <xdr:cNvPr id="19" name="Straight Connector 18">
          <a:extLst>
            <a:ext uri="{FF2B5EF4-FFF2-40B4-BE49-F238E27FC236}">
              <a16:creationId xmlns:a16="http://schemas.microsoft.com/office/drawing/2014/main" id="{6AD7423F-D9D0-F3C4-4E29-DF10214B4578}"/>
            </a:ext>
          </a:extLst>
        </xdr:cNvPr>
        <xdr:cNvCxnSpPr/>
      </xdr:nvCxnSpPr>
      <xdr:spPr>
        <a:xfrm rot="1200000" flipV="1">
          <a:off x="3541059" y="4930587"/>
          <a:ext cx="1486647" cy="7470"/>
        </a:xfrm>
        <a:prstGeom prst="line">
          <a:avLst/>
        </a:prstGeom>
        <a:ln w="6350">
          <a:solidFill>
            <a:srgbClr val="00206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156882</xdr:colOff>
      <xdr:row>29</xdr:row>
      <xdr:rowOff>22413</xdr:rowOff>
    </xdr:from>
    <xdr:to>
      <xdr:col>14</xdr:col>
      <xdr:colOff>328705</xdr:colOff>
      <xdr:row>32</xdr:row>
      <xdr:rowOff>59766</xdr:rowOff>
    </xdr:to>
    <xdr:sp macro="" textlink="">
      <xdr:nvSpPr>
        <xdr:cNvPr id="22" name="TextBox 21">
          <a:extLst>
            <a:ext uri="{FF2B5EF4-FFF2-40B4-BE49-F238E27FC236}">
              <a16:creationId xmlns:a16="http://schemas.microsoft.com/office/drawing/2014/main" id="{53CFA716-0258-1D45-9145-07BED427C4B7}"/>
            </a:ext>
          </a:extLst>
        </xdr:cNvPr>
        <xdr:cNvSpPr txBox="1"/>
      </xdr:nvSpPr>
      <xdr:spPr>
        <a:xfrm>
          <a:off x="5356411" y="4915648"/>
          <a:ext cx="5072529" cy="605118"/>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100" b="1" u="sng"/>
            <a:t>Clean Price (real)</a:t>
          </a:r>
          <a:r>
            <a:rPr lang="cs-CZ" sz="1100" b="0" u="none"/>
            <a:t>: reported by brokerages and data</a:t>
          </a:r>
          <a:r>
            <a:rPr lang="cs-CZ" sz="1100" b="0" u="none" baseline="0"/>
            <a:t> providers, assumes no change in the inflation coefficient since the base date = stated in the price level of April 2014 in case of our bond</a:t>
          </a:r>
        </a:p>
        <a:p>
          <a:endParaRPr lang="cs-CZ" sz="1100" b="0" u="none" baseline="0"/>
        </a:p>
      </xdr:txBody>
    </xdr:sp>
    <xdr:clientData/>
  </xdr:twoCellAnchor>
  <xdr:twoCellAnchor>
    <xdr:from>
      <xdr:col>3</xdr:col>
      <xdr:colOff>179294</xdr:colOff>
      <xdr:row>35</xdr:row>
      <xdr:rowOff>52291</xdr:rowOff>
    </xdr:from>
    <xdr:to>
      <xdr:col>5</xdr:col>
      <xdr:colOff>440765</xdr:colOff>
      <xdr:row>35</xdr:row>
      <xdr:rowOff>59761</xdr:rowOff>
    </xdr:to>
    <xdr:cxnSp macro="">
      <xdr:nvCxnSpPr>
        <xdr:cNvPr id="24" name="Straight Connector 23">
          <a:extLst>
            <a:ext uri="{FF2B5EF4-FFF2-40B4-BE49-F238E27FC236}">
              <a16:creationId xmlns:a16="http://schemas.microsoft.com/office/drawing/2014/main" id="{A9A034C0-C3D3-E8CE-D209-00E1B77210D5}"/>
            </a:ext>
          </a:extLst>
        </xdr:cNvPr>
        <xdr:cNvCxnSpPr/>
      </xdr:nvCxnSpPr>
      <xdr:spPr>
        <a:xfrm rot="600000" flipV="1">
          <a:off x="3541059" y="6073585"/>
          <a:ext cx="1486647" cy="7470"/>
        </a:xfrm>
        <a:prstGeom prst="line">
          <a:avLst/>
        </a:prstGeom>
        <a:ln w="6350">
          <a:solidFill>
            <a:srgbClr val="00206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156882</xdr:colOff>
      <xdr:row>34</xdr:row>
      <xdr:rowOff>82178</xdr:rowOff>
    </xdr:from>
    <xdr:to>
      <xdr:col>14</xdr:col>
      <xdr:colOff>328705</xdr:colOff>
      <xdr:row>37</xdr:row>
      <xdr:rowOff>127001</xdr:rowOff>
    </xdr:to>
    <xdr:sp macro="" textlink="">
      <xdr:nvSpPr>
        <xdr:cNvPr id="26" name="TextBox 25">
          <a:extLst>
            <a:ext uri="{FF2B5EF4-FFF2-40B4-BE49-F238E27FC236}">
              <a16:creationId xmlns:a16="http://schemas.microsoft.com/office/drawing/2014/main" id="{EA466B41-23A1-0A5C-7F1A-A7DFD960B58A}"/>
            </a:ext>
          </a:extLst>
        </xdr:cNvPr>
        <xdr:cNvSpPr txBox="1"/>
      </xdr:nvSpPr>
      <xdr:spPr>
        <a:xfrm>
          <a:off x="5356411" y="5916707"/>
          <a:ext cx="5072529" cy="605118"/>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100" b="1" u="sng"/>
            <a:t>Dirty Price (nominal)</a:t>
          </a:r>
          <a:r>
            <a:rPr lang="cs-CZ" sz="1100" b="0" u="none"/>
            <a:t>: the amount necessary</a:t>
          </a:r>
          <a:r>
            <a:rPr lang="cs-CZ" sz="1100" b="0" u="none" baseline="0"/>
            <a:t> to actually purchase a bond with an original par value of 100 €, equals real dirty price times the inflation coefficient on the settlement date = the price of the bond is updated to reflect today's price level</a:t>
          </a:r>
        </a:p>
        <a:p>
          <a:endParaRPr lang="cs-CZ" sz="1100" b="0" u="none" baseline="0"/>
        </a:p>
      </xdr:txBody>
    </xdr:sp>
    <xdr:clientData/>
  </xdr:twoCellAnchor>
  <xdr:twoCellAnchor>
    <xdr:from>
      <xdr:col>1</xdr:col>
      <xdr:colOff>25400</xdr:colOff>
      <xdr:row>0</xdr:row>
      <xdr:rowOff>55282</xdr:rowOff>
    </xdr:from>
    <xdr:to>
      <xdr:col>1</xdr:col>
      <xdr:colOff>1123577</xdr:colOff>
      <xdr:row>2</xdr:row>
      <xdr:rowOff>174812</xdr:rowOff>
    </xdr:to>
    <xdr:sp macro="" textlink="">
      <xdr:nvSpPr>
        <xdr:cNvPr id="8" name="Obdélník 7">
          <a:hlinkClick xmlns:r="http://schemas.openxmlformats.org/officeDocument/2006/relationships" r:id="rId3"/>
          <a:extLst>
            <a:ext uri="{FF2B5EF4-FFF2-40B4-BE49-F238E27FC236}">
              <a16:creationId xmlns:a16="http://schemas.microsoft.com/office/drawing/2014/main" id="{7D36B6F2-B0E5-41BD-B6F1-7CD8E92BA397}"/>
            </a:ext>
          </a:extLst>
        </xdr:cNvPr>
        <xdr:cNvSpPr/>
      </xdr:nvSpPr>
      <xdr:spPr>
        <a:xfrm>
          <a:off x="122518" y="55282"/>
          <a:ext cx="1098177" cy="493059"/>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cs-CZ" sz="1100" b="1"/>
            <a:t>BACK</a:t>
          </a:r>
          <a:r>
            <a:rPr lang="cs-CZ" sz="1100" b="1" baseline="0"/>
            <a:t> TO </a:t>
          </a:r>
          <a:r>
            <a:rPr lang="cs-CZ" sz="1100" b="1"/>
            <a:t>MENU</a:t>
          </a:r>
          <a:endParaRPr lang="en-US" sz="11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3</xdr:row>
      <xdr:rowOff>1</xdr:rowOff>
    </xdr:from>
    <xdr:to>
      <xdr:col>7</xdr:col>
      <xdr:colOff>204693</xdr:colOff>
      <xdr:row>7</xdr:row>
      <xdr:rowOff>38100</xdr:rowOff>
    </xdr:to>
    <xdr:sp macro="" textlink="">
      <xdr:nvSpPr>
        <xdr:cNvPr id="2" name="TextovéPole 15">
          <a:extLst>
            <a:ext uri="{FF2B5EF4-FFF2-40B4-BE49-F238E27FC236}">
              <a16:creationId xmlns:a16="http://schemas.microsoft.com/office/drawing/2014/main" id="{6C580A74-417F-4C46-90BE-BDA3AA41B9EC}"/>
            </a:ext>
          </a:extLst>
        </xdr:cNvPr>
        <xdr:cNvSpPr txBox="1"/>
      </xdr:nvSpPr>
      <xdr:spPr>
        <a:xfrm>
          <a:off x="101600" y="1"/>
          <a:ext cx="6421343" cy="7746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100" b="1" u="sng"/>
            <a:t>PROBLEM</a:t>
          </a:r>
          <a:r>
            <a:rPr lang="cs-CZ" sz="1100" b="1" u="sng" baseline="0"/>
            <a:t> 2</a:t>
          </a:r>
        </a:p>
        <a:p>
          <a:r>
            <a:rPr lang="cs-CZ" sz="1100"/>
            <a:t>Calculate the dirty price</a:t>
          </a:r>
          <a:r>
            <a:rPr lang="cs-CZ" sz="1100" baseline="0"/>
            <a:t> of the bond using both the 2014 and the 2026 (current) price level via the multiplication of cash flows by an inflation coefficient of 1 and </a:t>
          </a:r>
          <a:r>
            <a:rPr lang="en-US" sz="1100" b="0" i="0" u="none" strike="noStrike">
              <a:solidFill>
                <a:schemeClr val="dk1"/>
              </a:solidFill>
              <a:effectLst/>
              <a:latin typeface="+mn-lt"/>
              <a:ea typeface="+mn-ea"/>
              <a:cs typeface="+mn-cs"/>
            </a:rPr>
            <a:t>1.29437</a:t>
          </a:r>
          <a:r>
            <a:rPr lang="cs-CZ" sz="1100" b="0" i="0" u="none" strike="noStrike">
              <a:solidFill>
                <a:schemeClr val="dk1"/>
              </a:solidFill>
              <a:effectLst/>
              <a:latin typeface="+mn-lt"/>
              <a:ea typeface="+mn-ea"/>
              <a:cs typeface="+mn-cs"/>
            </a:rPr>
            <a:t>,</a:t>
          </a:r>
          <a:r>
            <a:rPr lang="cs-CZ" sz="1100" b="0" i="0" u="none" strike="noStrike" baseline="0">
              <a:solidFill>
                <a:schemeClr val="dk1"/>
              </a:solidFill>
              <a:effectLst/>
              <a:latin typeface="+mn-lt"/>
              <a:ea typeface="+mn-ea"/>
              <a:cs typeface="+mn-cs"/>
            </a:rPr>
            <a:t> respectively. Use the ACT/ACT convention.</a:t>
          </a:r>
          <a:endParaRPr lang="cs-CZ" sz="1100" baseline="0"/>
        </a:p>
        <a:p>
          <a:endParaRPr lang="cs-CZ" sz="1100" baseline="0"/>
        </a:p>
      </xdr:txBody>
    </xdr:sp>
    <xdr:clientData/>
  </xdr:twoCellAnchor>
  <xdr:twoCellAnchor>
    <xdr:from>
      <xdr:col>1</xdr:col>
      <xdr:colOff>6350</xdr:colOff>
      <xdr:row>7</xdr:row>
      <xdr:rowOff>63500</xdr:rowOff>
    </xdr:from>
    <xdr:to>
      <xdr:col>7</xdr:col>
      <xdr:colOff>211043</xdr:colOff>
      <xdr:row>10</xdr:row>
      <xdr:rowOff>153521</xdr:rowOff>
    </xdr:to>
    <xdr:sp macro="" textlink="">
      <xdr:nvSpPr>
        <xdr:cNvPr id="3" name="TextovéPole 16">
          <a:hlinkClick xmlns:r="http://schemas.openxmlformats.org/officeDocument/2006/relationships" r:id="rId1"/>
          <a:extLst>
            <a:ext uri="{FF2B5EF4-FFF2-40B4-BE49-F238E27FC236}">
              <a16:creationId xmlns:a16="http://schemas.microsoft.com/office/drawing/2014/main" id="{1B78EA78-F769-420F-9C2A-63678B883B7A}"/>
            </a:ext>
          </a:extLst>
        </xdr:cNvPr>
        <xdr:cNvSpPr txBox="1"/>
      </xdr:nvSpPr>
      <xdr:spPr>
        <a:xfrm>
          <a:off x="107950" y="800100"/>
          <a:ext cx="6421343" cy="6424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100" baseline="0">
              <a:solidFill>
                <a:schemeClr val="dk1"/>
              </a:solidFill>
              <a:effectLst/>
              <a:latin typeface="+mn-lt"/>
              <a:ea typeface="+mn-ea"/>
              <a:cs typeface="+mn-cs"/>
            </a:rPr>
            <a:t>Data source:</a:t>
          </a:r>
          <a:endParaRPr lang="en-US">
            <a:effectLst/>
          </a:endParaRPr>
        </a:p>
        <a:p>
          <a:r>
            <a:rPr lang="en-US" sz="1100" b="0" i="0" u="sng">
              <a:solidFill>
                <a:srgbClr val="0000FF"/>
              </a:solidFill>
              <a:effectLst/>
              <a:latin typeface="+mn-lt"/>
              <a:ea typeface="+mn-ea"/>
              <a:cs typeface="+mn-cs"/>
            </a:rPr>
            <a:t>https://www.deutsche-finanzagentur.de/en/federal-securities/factsheet/isin/DE0001030559?cHash=f50ce7c312f099a9c4fb322168c0c5e3</a:t>
          </a:r>
          <a:r>
            <a:rPr lang="en-US" sz="1100">
              <a:solidFill>
                <a:srgbClr val="0000FF"/>
              </a:solidFill>
              <a:effectLst/>
              <a:latin typeface="+mn-lt"/>
              <a:ea typeface="+mn-ea"/>
              <a:cs typeface="+mn-cs"/>
            </a:rPr>
            <a:t> </a:t>
          </a:r>
          <a:endParaRPr lang="en-US">
            <a:solidFill>
              <a:srgbClr val="0000FF"/>
            </a:solidFill>
            <a:effectLst/>
          </a:endParaRPr>
        </a:p>
      </xdr:txBody>
    </xdr:sp>
    <xdr:clientData/>
  </xdr:twoCellAnchor>
  <xdr:twoCellAnchor>
    <xdr:from>
      <xdr:col>1</xdr:col>
      <xdr:colOff>9072</xdr:colOff>
      <xdr:row>0</xdr:row>
      <xdr:rowOff>72572</xdr:rowOff>
    </xdr:from>
    <xdr:to>
      <xdr:col>1</xdr:col>
      <xdr:colOff>1107249</xdr:colOff>
      <xdr:row>3</xdr:row>
      <xdr:rowOff>21345</xdr:rowOff>
    </xdr:to>
    <xdr:sp macro="" textlink="">
      <xdr:nvSpPr>
        <xdr:cNvPr id="24" name="Obdélník 23">
          <a:hlinkClick xmlns:r="http://schemas.openxmlformats.org/officeDocument/2006/relationships" r:id="rId2"/>
          <a:extLst>
            <a:ext uri="{FF2B5EF4-FFF2-40B4-BE49-F238E27FC236}">
              <a16:creationId xmlns:a16="http://schemas.microsoft.com/office/drawing/2014/main" id="{D0A027E4-213C-4EA8-BE09-9D595EE2CF6C}"/>
            </a:ext>
          </a:extLst>
        </xdr:cNvPr>
        <xdr:cNvSpPr/>
      </xdr:nvSpPr>
      <xdr:spPr>
        <a:xfrm>
          <a:off x="108858" y="72572"/>
          <a:ext cx="1098177" cy="493059"/>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cs-CZ" sz="1100" b="1"/>
            <a:t>BACK</a:t>
          </a:r>
          <a:r>
            <a:rPr lang="cs-CZ" sz="1100" b="1" baseline="0"/>
            <a:t> TO </a:t>
          </a:r>
          <a:r>
            <a:rPr lang="cs-CZ" sz="1100" b="1"/>
            <a:t>MENU</a:t>
          </a:r>
          <a:endParaRPr lang="en-US" sz="11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3</xdr:row>
      <xdr:rowOff>1</xdr:rowOff>
    </xdr:from>
    <xdr:to>
      <xdr:col>7</xdr:col>
      <xdr:colOff>204693</xdr:colOff>
      <xdr:row>7</xdr:row>
      <xdr:rowOff>38100</xdr:rowOff>
    </xdr:to>
    <xdr:sp macro="" textlink="">
      <xdr:nvSpPr>
        <xdr:cNvPr id="2" name="TextovéPole 15">
          <a:extLst>
            <a:ext uri="{FF2B5EF4-FFF2-40B4-BE49-F238E27FC236}">
              <a16:creationId xmlns:a16="http://schemas.microsoft.com/office/drawing/2014/main" id="{D2CF9D7E-EDB3-4F35-B926-F83AB26001DB}"/>
            </a:ext>
          </a:extLst>
        </xdr:cNvPr>
        <xdr:cNvSpPr txBox="1"/>
      </xdr:nvSpPr>
      <xdr:spPr>
        <a:xfrm>
          <a:off x="101600" y="1"/>
          <a:ext cx="5259293" cy="7746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100" b="1" u="sng"/>
            <a:t>PROBLEM</a:t>
          </a:r>
          <a:r>
            <a:rPr lang="cs-CZ" sz="1100" b="1" u="sng" baseline="0"/>
            <a:t> 2</a:t>
          </a:r>
        </a:p>
        <a:p>
          <a:r>
            <a:rPr lang="cs-CZ" sz="1100"/>
            <a:t>Below, the essential property</a:t>
          </a:r>
          <a:r>
            <a:rPr lang="cs-CZ" sz="1100" baseline="0"/>
            <a:t> of an inflation-linked bond - the indexation of both the coupon distributions and the principal repayment - is demonstrated, relative to the real cash flow basis used to price the security by data providers.</a:t>
          </a:r>
        </a:p>
        <a:p>
          <a:endParaRPr lang="cs-CZ" sz="1100" baseline="0"/>
        </a:p>
      </xdr:txBody>
    </xdr:sp>
    <xdr:clientData/>
  </xdr:twoCellAnchor>
  <xdr:twoCellAnchor>
    <xdr:from>
      <xdr:col>1</xdr:col>
      <xdr:colOff>6350</xdr:colOff>
      <xdr:row>7</xdr:row>
      <xdr:rowOff>63500</xdr:rowOff>
    </xdr:from>
    <xdr:to>
      <xdr:col>7</xdr:col>
      <xdr:colOff>211043</xdr:colOff>
      <xdr:row>10</xdr:row>
      <xdr:rowOff>153521</xdr:rowOff>
    </xdr:to>
    <xdr:sp macro="" textlink="">
      <xdr:nvSpPr>
        <xdr:cNvPr id="3" name="TextovéPole 16">
          <a:hlinkClick xmlns:r="http://schemas.openxmlformats.org/officeDocument/2006/relationships" r:id="rId1"/>
          <a:extLst>
            <a:ext uri="{FF2B5EF4-FFF2-40B4-BE49-F238E27FC236}">
              <a16:creationId xmlns:a16="http://schemas.microsoft.com/office/drawing/2014/main" id="{B30DE4CB-8749-4307-8B40-83B6315C1E9F}"/>
            </a:ext>
          </a:extLst>
        </xdr:cNvPr>
        <xdr:cNvSpPr txBox="1"/>
      </xdr:nvSpPr>
      <xdr:spPr>
        <a:xfrm>
          <a:off x="107950" y="800100"/>
          <a:ext cx="5259293" cy="6424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100" baseline="0">
              <a:solidFill>
                <a:schemeClr val="dk1"/>
              </a:solidFill>
              <a:effectLst/>
              <a:latin typeface="+mn-lt"/>
              <a:ea typeface="+mn-ea"/>
              <a:cs typeface="+mn-cs"/>
            </a:rPr>
            <a:t>Data source:</a:t>
          </a:r>
          <a:endParaRPr lang="en-US">
            <a:effectLst/>
          </a:endParaRPr>
        </a:p>
        <a:p>
          <a:r>
            <a:rPr lang="en-US" sz="1100" b="0" i="0" u="sng">
              <a:solidFill>
                <a:srgbClr val="0000FF"/>
              </a:solidFill>
              <a:effectLst/>
              <a:latin typeface="+mn-lt"/>
              <a:ea typeface="+mn-ea"/>
              <a:cs typeface="+mn-cs"/>
            </a:rPr>
            <a:t>https://www.deutsche-finanzagentur.de/en/federal-securities/factsheet/isin/DE0001030559?cHash=f50ce7c312f099a9c4fb322168c0c5e3</a:t>
          </a:r>
          <a:r>
            <a:rPr lang="en-US" sz="1100">
              <a:solidFill>
                <a:srgbClr val="0000FF"/>
              </a:solidFill>
              <a:effectLst/>
              <a:latin typeface="+mn-lt"/>
              <a:ea typeface="+mn-ea"/>
              <a:cs typeface="+mn-cs"/>
            </a:rPr>
            <a:t> </a:t>
          </a:r>
          <a:endParaRPr lang="en-US">
            <a:solidFill>
              <a:srgbClr val="0000FF"/>
            </a:solidFill>
            <a:effectLst/>
          </a:endParaRPr>
        </a:p>
      </xdr:txBody>
    </xdr:sp>
    <xdr:clientData/>
  </xdr:twoCellAnchor>
  <xdr:twoCellAnchor>
    <xdr:from>
      <xdr:col>3</xdr:col>
      <xdr:colOff>222251</xdr:colOff>
      <xdr:row>23</xdr:row>
      <xdr:rowOff>101599</xdr:rowOff>
    </xdr:from>
    <xdr:to>
      <xdr:col>5</xdr:col>
      <xdr:colOff>311151</xdr:colOff>
      <xdr:row>23</xdr:row>
      <xdr:rowOff>101599</xdr:rowOff>
    </xdr:to>
    <xdr:cxnSp macro="">
      <xdr:nvCxnSpPr>
        <xdr:cNvPr id="5" name="Straight Connector 4">
          <a:extLst>
            <a:ext uri="{FF2B5EF4-FFF2-40B4-BE49-F238E27FC236}">
              <a16:creationId xmlns:a16="http://schemas.microsoft.com/office/drawing/2014/main" id="{6C9E1B87-DDA7-E6E8-BF86-03875AB25A14}"/>
            </a:ext>
          </a:extLst>
        </xdr:cNvPr>
        <xdr:cNvCxnSpPr/>
      </xdr:nvCxnSpPr>
      <xdr:spPr>
        <a:xfrm rot="600000">
          <a:off x="3644901" y="2882899"/>
          <a:ext cx="1536700" cy="0"/>
        </a:xfrm>
        <a:prstGeom prst="line">
          <a:avLst/>
        </a:prstGeom>
        <a:ln>
          <a:solidFill>
            <a:srgbClr val="00206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571499</xdr:colOff>
      <xdr:row>20</xdr:row>
      <xdr:rowOff>107949</xdr:rowOff>
    </xdr:from>
    <xdr:to>
      <xdr:col>13</xdr:col>
      <xdr:colOff>485587</xdr:colOff>
      <xdr:row>27</xdr:row>
      <xdr:rowOff>36286</xdr:rowOff>
    </xdr:to>
    <xdr:sp macro="" textlink="">
      <xdr:nvSpPr>
        <xdr:cNvPr id="6" name="TextBox 5">
          <a:extLst>
            <a:ext uri="{FF2B5EF4-FFF2-40B4-BE49-F238E27FC236}">
              <a16:creationId xmlns:a16="http://schemas.microsoft.com/office/drawing/2014/main" id="{C0769BA4-48FC-5192-D02F-E161616B1DD8}"/>
            </a:ext>
          </a:extLst>
        </xdr:cNvPr>
        <xdr:cNvSpPr txBox="1"/>
      </xdr:nvSpPr>
      <xdr:spPr>
        <a:xfrm>
          <a:off x="5442856" y="2303235"/>
          <a:ext cx="5012231" cy="1207408"/>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cs-CZ" sz="1100" b="1" u="sng">
              <a:solidFill>
                <a:schemeClr val="dk1"/>
              </a:solidFill>
              <a:latin typeface="+mn-lt"/>
              <a:ea typeface="+mn-ea"/>
              <a:cs typeface="+mn-cs"/>
            </a:rPr>
            <a:t>Real YTM</a:t>
          </a:r>
          <a:r>
            <a:rPr lang="cs-CZ" sz="1100" b="0" u="none">
              <a:solidFill>
                <a:schemeClr val="dk1"/>
              </a:solidFill>
              <a:latin typeface="+mn-lt"/>
              <a:ea typeface="+mn-ea"/>
              <a:cs typeface="+mn-cs"/>
            </a:rPr>
            <a:t>: total return of the bond after adjusting for inflation, assuming the coupons are reinvested at the same rate</a:t>
          </a:r>
        </a:p>
        <a:p>
          <a:pPr marL="0" indent="0"/>
          <a:r>
            <a:rPr lang="cs-CZ" sz="1100" b="1" u="sng">
              <a:solidFill>
                <a:schemeClr val="dk1"/>
              </a:solidFill>
              <a:latin typeface="+mn-lt"/>
              <a:ea typeface="+mn-ea"/>
              <a:cs typeface="+mn-cs"/>
            </a:rPr>
            <a:t>ACT/ACT daycount factor</a:t>
          </a:r>
          <a:r>
            <a:rPr lang="cs-CZ" sz="1100" b="0" u="none">
              <a:solidFill>
                <a:schemeClr val="dk1"/>
              </a:solidFill>
              <a:latin typeface="+mn-lt"/>
              <a:ea typeface="+mn-ea"/>
              <a:cs typeface="+mn-cs"/>
            </a:rPr>
            <a:t>:</a:t>
          </a:r>
          <a:r>
            <a:rPr lang="cs-CZ" sz="1100" b="0" u="none" baseline="0">
              <a:solidFill>
                <a:schemeClr val="dk1"/>
              </a:solidFill>
              <a:latin typeface="+mn-lt"/>
              <a:ea typeface="+mn-ea"/>
              <a:cs typeface="+mn-cs"/>
            </a:rPr>
            <a:t> DayCountFactor = D_1/365 + D_2/365 + D_3/366 + ..., where D_1, D_2, D_3, ... is the number of days of bond ownership in each interest period (which is annual in our example)</a:t>
          </a:r>
        </a:p>
        <a:p>
          <a:pPr marL="0" indent="0"/>
          <a:r>
            <a:rPr lang="cs-CZ" sz="1100" b="1" u="sng">
              <a:solidFill>
                <a:schemeClr val="dk1"/>
              </a:solidFill>
              <a:latin typeface="+mn-lt"/>
              <a:ea typeface="+mn-ea"/>
              <a:cs typeface="+mn-cs"/>
            </a:rPr>
            <a:t>Upcoming distribution date</a:t>
          </a:r>
          <a:r>
            <a:rPr lang="cs-CZ" sz="1100" b="0" u="none" baseline="0">
              <a:solidFill>
                <a:schemeClr val="dk1"/>
              </a:solidFill>
              <a:latin typeface="+mn-lt"/>
              <a:ea typeface="+mn-ea"/>
              <a:cs typeface="+mn-cs"/>
            </a:rPr>
            <a:t>: exactly one year after the Last distribution date</a:t>
          </a:r>
          <a:endParaRPr lang="en-US" sz="1100" b="0" u="none">
            <a:solidFill>
              <a:schemeClr val="dk1"/>
            </a:solidFill>
            <a:latin typeface="+mn-lt"/>
            <a:ea typeface="+mn-ea"/>
            <a:cs typeface="+mn-cs"/>
          </a:endParaRPr>
        </a:p>
      </xdr:txBody>
    </xdr:sp>
    <xdr:clientData/>
  </xdr:twoCellAnchor>
  <xdr:twoCellAnchor>
    <xdr:from>
      <xdr:col>7</xdr:col>
      <xdr:colOff>196850</xdr:colOff>
      <xdr:row>78</xdr:row>
      <xdr:rowOff>63500</xdr:rowOff>
    </xdr:from>
    <xdr:to>
      <xdr:col>9</xdr:col>
      <xdr:colOff>514350</xdr:colOff>
      <xdr:row>78</xdr:row>
      <xdr:rowOff>63500</xdr:rowOff>
    </xdr:to>
    <xdr:cxnSp macro="">
      <xdr:nvCxnSpPr>
        <xdr:cNvPr id="9" name="Straight Connector 8">
          <a:extLst>
            <a:ext uri="{FF2B5EF4-FFF2-40B4-BE49-F238E27FC236}">
              <a16:creationId xmlns:a16="http://schemas.microsoft.com/office/drawing/2014/main" id="{8ADDAD73-A6D8-73A6-27FA-7FDFBA1B5F31}"/>
            </a:ext>
          </a:extLst>
        </xdr:cNvPr>
        <xdr:cNvCxnSpPr/>
      </xdr:nvCxnSpPr>
      <xdr:spPr>
        <a:xfrm rot="600000">
          <a:off x="6515100" y="13017500"/>
          <a:ext cx="1536700" cy="0"/>
        </a:xfrm>
        <a:prstGeom prst="line">
          <a:avLst/>
        </a:prstGeom>
        <a:ln>
          <a:solidFill>
            <a:srgbClr val="00206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69850</xdr:colOff>
      <xdr:row>74</xdr:row>
      <xdr:rowOff>149413</xdr:rowOff>
    </xdr:from>
    <xdr:to>
      <xdr:col>17</xdr:col>
      <xdr:colOff>537882</xdr:colOff>
      <xdr:row>80</xdr:row>
      <xdr:rowOff>7471</xdr:rowOff>
    </xdr:to>
    <xdr:sp macro="" textlink="">
      <xdr:nvSpPr>
        <xdr:cNvPr id="10" name="TextBox 9">
          <a:extLst>
            <a:ext uri="{FF2B5EF4-FFF2-40B4-BE49-F238E27FC236}">
              <a16:creationId xmlns:a16="http://schemas.microsoft.com/office/drawing/2014/main" id="{152FB90F-6C56-300F-077D-C9AD21A5B260}"/>
            </a:ext>
          </a:extLst>
        </xdr:cNvPr>
        <xdr:cNvSpPr txBox="1"/>
      </xdr:nvSpPr>
      <xdr:spPr>
        <a:xfrm>
          <a:off x="8227732" y="12550589"/>
          <a:ext cx="4756150" cy="978647"/>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cs-CZ" sz="1100" b="1" u="sng">
              <a:solidFill>
                <a:schemeClr val="dk1"/>
              </a:solidFill>
              <a:latin typeface="+mn-lt"/>
              <a:ea typeface="+mn-ea"/>
              <a:cs typeface="+mn-cs"/>
            </a:rPr>
            <a:t>Inflation</a:t>
          </a:r>
          <a:r>
            <a:rPr lang="cs-CZ" sz="1100" b="1" u="sng" baseline="0">
              <a:solidFill>
                <a:schemeClr val="dk1"/>
              </a:solidFill>
              <a:latin typeface="+mn-lt"/>
              <a:ea typeface="+mn-ea"/>
              <a:cs typeface="+mn-cs"/>
            </a:rPr>
            <a:t> coefficient</a:t>
          </a:r>
          <a:r>
            <a:rPr lang="cs-CZ" sz="1100" b="0" u="none">
              <a:solidFill>
                <a:schemeClr val="dk1"/>
              </a:solidFill>
              <a:latin typeface="+mn-lt"/>
              <a:ea typeface="+mn-ea"/>
              <a:cs typeface="+mn-cs"/>
            </a:rPr>
            <a:t>: reflects</a:t>
          </a:r>
          <a:r>
            <a:rPr lang="cs-CZ" sz="1100" b="0" u="none" baseline="0">
              <a:solidFill>
                <a:schemeClr val="dk1"/>
              </a:solidFill>
              <a:latin typeface="+mn-lt"/>
              <a:ea typeface="+mn-ea"/>
              <a:cs typeface="+mn-cs"/>
            </a:rPr>
            <a:t> the cumulative expected inflation uplift at the end of each period</a:t>
          </a:r>
        </a:p>
        <a:p>
          <a:pPr marL="0" indent="0"/>
          <a:r>
            <a:rPr lang="cs-CZ" sz="1100" b="1" u="sng">
              <a:solidFill>
                <a:schemeClr val="dk1"/>
              </a:solidFill>
              <a:latin typeface="+mn-lt"/>
              <a:ea typeface="+mn-ea"/>
              <a:cs typeface="+mn-cs"/>
            </a:rPr>
            <a:t>Real YTM</a:t>
          </a:r>
          <a:r>
            <a:rPr lang="cs-CZ" sz="1100" b="0" u="none" baseline="0">
              <a:solidFill>
                <a:schemeClr val="dk1"/>
              </a:solidFill>
              <a:latin typeface="+mn-lt"/>
              <a:ea typeface="+mn-ea"/>
              <a:cs typeface="+mn-cs"/>
            </a:rPr>
            <a:t>: not applicable for discounting. Why? Cash flows in this case are nominal (not adjusted for inflation), whereas the discount rate/YTM is real (inflation-adjusted). Never mix and match cash flows and discount rates</a:t>
          </a:r>
          <a:endParaRPr lang="en-US" sz="1100" b="0" u="none">
            <a:solidFill>
              <a:schemeClr val="dk1"/>
            </a:solidFill>
            <a:latin typeface="+mn-lt"/>
            <a:ea typeface="+mn-ea"/>
            <a:cs typeface="+mn-cs"/>
          </a:endParaRPr>
        </a:p>
      </xdr:txBody>
    </xdr:sp>
    <xdr:clientData/>
  </xdr:twoCellAnchor>
  <xdr:twoCellAnchor>
    <xdr:from>
      <xdr:col>3</xdr:col>
      <xdr:colOff>222251</xdr:colOff>
      <xdr:row>22</xdr:row>
      <xdr:rowOff>12698</xdr:rowOff>
    </xdr:from>
    <xdr:to>
      <xdr:col>5</xdr:col>
      <xdr:colOff>311151</xdr:colOff>
      <xdr:row>22</xdr:row>
      <xdr:rowOff>12698</xdr:rowOff>
    </xdr:to>
    <xdr:cxnSp macro="">
      <xdr:nvCxnSpPr>
        <xdr:cNvPr id="11" name="Straight Connector 10">
          <a:extLst>
            <a:ext uri="{FF2B5EF4-FFF2-40B4-BE49-F238E27FC236}">
              <a16:creationId xmlns:a16="http://schemas.microsoft.com/office/drawing/2014/main" id="{6AC41862-7009-7912-3B75-17DE67B9D5F3}"/>
            </a:ext>
          </a:extLst>
        </xdr:cNvPr>
        <xdr:cNvCxnSpPr/>
      </xdr:nvCxnSpPr>
      <xdr:spPr>
        <a:xfrm rot="-600000">
          <a:off x="3644901" y="2609848"/>
          <a:ext cx="1536700" cy="0"/>
        </a:xfrm>
        <a:prstGeom prst="line">
          <a:avLst/>
        </a:prstGeom>
        <a:ln>
          <a:solidFill>
            <a:srgbClr val="00206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196850</xdr:colOff>
      <xdr:row>76</xdr:row>
      <xdr:rowOff>158750</xdr:rowOff>
    </xdr:from>
    <xdr:to>
      <xdr:col>9</xdr:col>
      <xdr:colOff>514350</xdr:colOff>
      <xdr:row>76</xdr:row>
      <xdr:rowOff>158750</xdr:rowOff>
    </xdr:to>
    <xdr:cxnSp macro="">
      <xdr:nvCxnSpPr>
        <xdr:cNvPr id="12" name="Straight Connector 11">
          <a:extLst>
            <a:ext uri="{FF2B5EF4-FFF2-40B4-BE49-F238E27FC236}">
              <a16:creationId xmlns:a16="http://schemas.microsoft.com/office/drawing/2014/main" id="{85FF349C-0AD1-B6A9-3338-232615C2AF75}"/>
            </a:ext>
          </a:extLst>
        </xdr:cNvPr>
        <xdr:cNvCxnSpPr/>
      </xdr:nvCxnSpPr>
      <xdr:spPr>
        <a:xfrm rot="-600000">
          <a:off x="6515100" y="12744450"/>
          <a:ext cx="1536700" cy="0"/>
        </a:xfrm>
        <a:prstGeom prst="line">
          <a:avLst/>
        </a:prstGeom>
        <a:ln>
          <a:solidFill>
            <a:srgbClr val="00206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196850</xdr:colOff>
      <xdr:row>85</xdr:row>
      <xdr:rowOff>82550</xdr:rowOff>
    </xdr:from>
    <xdr:to>
      <xdr:col>9</xdr:col>
      <xdr:colOff>514350</xdr:colOff>
      <xdr:row>85</xdr:row>
      <xdr:rowOff>82550</xdr:rowOff>
    </xdr:to>
    <xdr:cxnSp macro="">
      <xdr:nvCxnSpPr>
        <xdr:cNvPr id="13" name="Straight Connector 12">
          <a:extLst>
            <a:ext uri="{FF2B5EF4-FFF2-40B4-BE49-F238E27FC236}">
              <a16:creationId xmlns:a16="http://schemas.microsoft.com/office/drawing/2014/main" id="{B7640ABE-F870-4B00-CFAF-12307E9AA544}"/>
            </a:ext>
          </a:extLst>
        </xdr:cNvPr>
        <xdr:cNvCxnSpPr/>
      </xdr:nvCxnSpPr>
      <xdr:spPr>
        <a:xfrm rot="600000">
          <a:off x="6515100" y="14325600"/>
          <a:ext cx="1536700" cy="0"/>
        </a:xfrm>
        <a:prstGeom prst="line">
          <a:avLst/>
        </a:prstGeom>
        <a:ln>
          <a:solidFill>
            <a:srgbClr val="00206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196850</xdr:colOff>
      <xdr:row>83</xdr:row>
      <xdr:rowOff>177800</xdr:rowOff>
    </xdr:from>
    <xdr:to>
      <xdr:col>9</xdr:col>
      <xdr:colOff>514350</xdr:colOff>
      <xdr:row>83</xdr:row>
      <xdr:rowOff>177800</xdr:rowOff>
    </xdr:to>
    <xdr:cxnSp macro="">
      <xdr:nvCxnSpPr>
        <xdr:cNvPr id="14" name="Straight Connector 13">
          <a:extLst>
            <a:ext uri="{FF2B5EF4-FFF2-40B4-BE49-F238E27FC236}">
              <a16:creationId xmlns:a16="http://schemas.microsoft.com/office/drawing/2014/main" id="{FA0876AA-EF61-6D94-B8E9-C19219C7BEFA}"/>
            </a:ext>
          </a:extLst>
        </xdr:cNvPr>
        <xdr:cNvCxnSpPr/>
      </xdr:nvCxnSpPr>
      <xdr:spPr>
        <a:xfrm rot="-600000">
          <a:off x="6515100" y="14052550"/>
          <a:ext cx="1536700" cy="0"/>
        </a:xfrm>
        <a:prstGeom prst="line">
          <a:avLst/>
        </a:prstGeom>
        <a:ln>
          <a:solidFill>
            <a:srgbClr val="00206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69850</xdr:colOff>
      <xdr:row>80</xdr:row>
      <xdr:rowOff>107950</xdr:rowOff>
    </xdr:from>
    <xdr:to>
      <xdr:col>17</xdr:col>
      <xdr:colOff>552824</xdr:colOff>
      <xdr:row>91</xdr:row>
      <xdr:rowOff>104589</xdr:rowOff>
    </xdr:to>
    <xdr:sp macro="" textlink="">
      <xdr:nvSpPr>
        <xdr:cNvPr id="15" name="TextBox 14">
          <a:extLst>
            <a:ext uri="{FF2B5EF4-FFF2-40B4-BE49-F238E27FC236}">
              <a16:creationId xmlns:a16="http://schemas.microsoft.com/office/drawing/2014/main" id="{8EB417D2-DBE7-CEE5-3011-56A1317C09BC}"/>
            </a:ext>
          </a:extLst>
        </xdr:cNvPr>
        <xdr:cNvSpPr txBox="1"/>
      </xdr:nvSpPr>
      <xdr:spPr>
        <a:xfrm>
          <a:off x="8227732" y="13629715"/>
          <a:ext cx="4771092" cy="20510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cs-CZ" sz="1100" b="1" u="sng">
              <a:solidFill>
                <a:schemeClr val="dk1"/>
              </a:solidFill>
              <a:latin typeface="+mn-lt"/>
              <a:ea typeface="+mn-ea"/>
              <a:cs typeface="+mn-cs"/>
            </a:rPr>
            <a:t>Coupon payments</a:t>
          </a:r>
          <a:r>
            <a:rPr lang="cs-CZ" sz="1100" b="0" u="none">
              <a:solidFill>
                <a:schemeClr val="dk1"/>
              </a:solidFill>
              <a:latin typeface="+mn-lt"/>
              <a:ea typeface="+mn-ea"/>
              <a:cs typeface="+mn-cs"/>
            </a:rPr>
            <a:t>: although fixed in real terms,</a:t>
          </a:r>
          <a:r>
            <a:rPr lang="cs-CZ" sz="1100" b="0" u="none" baseline="0">
              <a:solidFill>
                <a:schemeClr val="dk1"/>
              </a:solidFill>
              <a:latin typeface="+mn-lt"/>
              <a:ea typeface="+mn-ea"/>
              <a:cs typeface="+mn-cs"/>
            </a:rPr>
            <a:t> the nominal coupons vary due to the growth in the price level = real coupon is multiplied by the inflation coefficient for the given period</a:t>
          </a:r>
        </a:p>
        <a:p>
          <a:pPr marL="0" marR="0" lvl="0" indent="0" defTabSz="914400" eaLnBrk="1" fontAlgn="auto" latinLnBrk="0" hangingPunct="1">
            <a:lnSpc>
              <a:spcPct val="100000"/>
            </a:lnSpc>
            <a:spcBef>
              <a:spcPts val="0"/>
            </a:spcBef>
            <a:spcAft>
              <a:spcPts val="0"/>
            </a:spcAft>
            <a:buClrTx/>
            <a:buSzTx/>
            <a:buFontTx/>
            <a:buNone/>
            <a:tabLst/>
            <a:defRPr/>
          </a:pPr>
          <a:r>
            <a:rPr lang="cs-CZ" sz="1100" b="1" u="sng">
              <a:solidFill>
                <a:schemeClr val="dk1"/>
              </a:solidFill>
              <a:effectLst/>
              <a:latin typeface="+mn-lt"/>
              <a:ea typeface="+mn-ea"/>
              <a:cs typeface="+mn-cs"/>
            </a:rPr>
            <a:t>Principal repayment</a:t>
          </a:r>
          <a:r>
            <a:rPr lang="cs-CZ" sz="1100" b="0">
              <a:solidFill>
                <a:schemeClr val="dk1"/>
              </a:solidFill>
              <a:effectLst/>
              <a:latin typeface="+mn-lt"/>
              <a:ea typeface="+mn-ea"/>
              <a:cs typeface="+mn-cs"/>
            </a:rPr>
            <a:t>: at redemption,</a:t>
          </a:r>
          <a:r>
            <a:rPr lang="cs-CZ" sz="1100" b="0" baseline="0">
              <a:solidFill>
                <a:schemeClr val="dk1"/>
              </a:solidFill>
              <a:effectLst/>
              <a:latin typeface="+mn-lt"/>
              <a:ea typeface="+mn-ea"/>
              <a:cs typeface="+mn-cs"/>
            </a:rPr>
            <a:t> the principal repayment amount is the real par value ( in our example) multiplied by the coefficient on 15.04.2030 (maturity date) - in the event of deflation (coefficient dips below 1), the redemption amount is fixed at the original par value (100 €)</a:t>
          </a:r>
        </a:p>
        <a:p>
          <a:pPr marL="0" marR="0" lvl="0" indent="0" defTabSz="914400" eaLnBrk="1" fontAlgn="auto" latinLnBrk="0" hangingPunct="1">
            <a:lnSpc>
              <a:spcPct val="100000"/>
            </a:lnSpc>
            <a:spcBef>
              <a:spcPts val="0"/>
            </a:spcBef>
            <a:spcAft>
              <a:spcPts val="0"/>
            </a:spcAft>
            <a:buClrTx/>
            <a:buSzTx/>
            <a:buFontTx/>
            <a:buNone/>
            <a:tabLst/>
            <a:defRPr/>
          </a:pPr>
          <a:r>
            <a:rPr lang="cs-CZ" sz="1100" b="1" u="sng" baseline="0">
              <a:solidFill>
                <a:schemeClr val="dk1"/>
              </a:solidFill>
              <a:effectLst/>
              <a:latin typeface="+mn-lt"/>
              <a:ea typeface="+mn-ea"/>
              <a:cs typeface="+mn-cs"/>
            </a:rPr>
            <a:t>Total payments</a:t>
          </a:r>
          <a:r>
            <a:rPr lang="cs-CZ" sz="1100" b="0">
              <a:solidFill>
                <a:schemeClr val="dk1"/>
              </a:solidFill>
              <a:effectLst/>
              <a:latin typeface="+mn-lt"/>
              <a:ea typeface="+mn-ea"/>
              <a:cs typeface="+mn-cs"/>
            </a:rPr>
            <a:t>: this is</a:t>
          </a:r>
          <a:r>
            <a:rPr lang="cs-CZ" sz="1100" b="0" baseline="0">
              <a:solidFill>
                <a:schemeClr val="dk1"/>
              </a:solidFill>
              <a:effectLst/>
              <a:latin typeface="+mn-lt"/>
              <a:ea typeface="+mn-ea"/>
              <a:cs typeface="+mn-cs"/>
            </a:rPr>
            <a:t> the amount that is actually received granted that our inflation expectations are correct. In real life, we do not know the exact payments amount at the time of the bond purchase (ex-ante) as the future inflation rate is uncertain</a:t>
          </a:r>
          <a:endParaRPr lang="en-US" b="1" u="sng">
            <a:effectLst/>
          </a:endParaRPr>
        </a:p>
        <a:p>
          <a:pPr marL="0" indent="0"/>
          <a:endParaRPr lang="en-US" sz="1100" b="0" u="none">
            <a:solidFill>
              <a:schemeClr val="dk1"/>
            </a:solidFill>
            <a:latin typeface="+mn-lt"/>
            <a:ea typeface="+mn-ea"/>
            <a:cs typeface="+mn-cs"/>
          </a:endParaRPr>
        </a:p>
      </xdr:txBody>
    </xdr:sp>
    <xdr:clientData/>
  </xdr:twoCellAnchor>
  <xdr:twoCellAnchor>
    <xdr:from>
      <xdr:col>10</xdr:col>
      <xdr:colOff>93381</xdr:colOff>
      <xdr:row>35</xdr:row>
      <xdr:rowOff>67236</xdr:rowOff>
    </xdr:from>
    <xdr:to>
      <xdr:col>14</xdr:col>
      <xdr:colOff>590177</xdr:colOff>
      <xdr:row>39</xdr:row>
      <xdr:rowOff>141941</xdr:rowOff>
    </xdr:to>
    <xdr:sp macro="" textlink="">
      <xdr:nvSpPr>
        <xdr:cNvPr id="17" name="TextBox 16">
          <a:extLst>
            <a:ext uri="{FF2B5EF4-FFF2-40B4-BE49-F238E27FC236}">
              <a16:creationId xmlns:a16="http://schemas.microsoft.com/office/drawing/2014/main" id="{E19E6145-3EDC-2551-17B7-1FDBF9F4B639}"/>
            </a:ext>
          </a:extLst>
        </xdr:cNvPr>
        <xdr:cNvSpPr txBox="1"/>
      </xdr:nvSpPr>
      <xdr:spPr>
        <a:xfrm>
          <a:off x="8251263" y="5139765"/>
          <a:ext cx="2947149" cy="821764"/>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cs-CZ" sz="1100" b="1" u="sng">
              <a:solidFill>
                <a:schemeClr val="dk1"/>
              </a:solidFill>
              <a:latin typeface="+mn-lt"/>
              <a:ea typeface="+mn-ea"/>
              <a:cs typeface="+mn-cs"/>
            </a:rPr>
            <a:t>Total payment</a:t>
          </a:r>
          <a:r>
            <a:rPr lang="cs-CZ" sz="1100" b="0" u="none">
              <a:solidFill>
                <a:schemeClr val="dk1"/>
              </a:solidFill>
              <a:latin typeface="+mn-lt"/>
              <a:ea typeface="+mn-ea"/>
              <a:cs typeface="+mn-cs"/>
            </a:rPr>
            <a:t>: the payments are expressed in price level of the base date (see</a:t>
          </a:r>
          <a:r>
            <a:rPr lang="cs-CZ" sz="1100" b="0" u="none" baseline="0">
              <a:solidFill>
                <a:schemeClr val="dk1"/>
              </a:solidFill>
              <a:latin typeface="+mn-lt"/>
              <a:ea typeface="+mn-ea"/>
              <a:cs typeface="+mn-cs"/>
            </a:rPr>
            <a:t> sheet Solution 1) = assumption of zero price level growth since 2014; we do not receive these amounts!</a:t>
          </a:r>
          <a:endParaRPr lang="cs-CZ" sz="1100" b="0" u="none">
            <a:solidFill>
              <a:schemeClr val="dk1"/>
            </a:solidFill>
            <a:latin typeface="+mn-lt"/>
            <a:ea typeface="+mn-ea"/>
            <a:cs typeface="+mn-cs"/>
          </a:endParaRPr>
        </a:p>
      </xdr:txBody>
    </xdr:sp>
    <xdr:clientData/>
  </xdr:twoCellAnchor>
  <xdr:twoCellAnchor>
    <xdr:from>
      <xdr:col>7</xdr:col>
      <xdr:colOff>140075</xdr:colOff>
      <xdr:row>38</xdr:row>
      <xdr:rowOff>109069</xdr:rowOff>
    </xdr:from>
    <xdr:to>
      <xdr:col>9</xdr:col>
      <xdr:colOff>453094</xdr:colOff>
      <xdr:row>38</xdr:row>
      <xdr:rowOff>109069</xdr:rowOff>
    </xdr:to>
    <xdr:cxnSp macro="">
      <xdr:nvCxnSpPr>
        <xdr:cNvPr id="18" name="Straight Connector 17">
          <a:extLst>
            <a:ext uri="{FF2B5EF4-FFF2-40B4-BE49-F238E27FC236}">
              <a16:creationId xmlns:a16="http://schemas.microsoft.com/office/drawing/2014/main" id="{8633863F-063A-FD1D-A84D-F097566A15C5}"/>
            </a:ext>
          </a:extLst>
        </xdr:cNvPr>
        <xdr:cNvCxnSpPr/>
      </xdr:nvCxnSpPr>
      <xdr:spPr>
        <a:xfrm rot="600000">
          <a:off x="6460193" y="5741893"/>
          <a:ext cx="1538195" cy="0"/>
        </a:xfrm>
        <a:prstGeom prst="line">
          <a:avLst/>
        </a:prstGeom>
        <a:ln>
          <a:solidFill>
            <a:srgbClr val="00206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140075</xdr:colOff>
      <xdr:row>37</xdr:row>
      <xdr:rowOff>20169</xdr:rowOff>
    </xdr:from>
    <xdr:to>
      <xdr:col>9</xdr:col>
      <xdr:colOff>453094</xdr:colOff>
      <xdr:row>37</xdr:row>
      <xdr:rowOff>20169</xdr:rowOff>
    </xdr:to>
    <xdr:cxnSp macro="">
      <xdr:nvCxnSpPr>
        <xdr:cNvPr id="19" name="Straight Connector 18">
          <a:extLst>
            <a:ext uri="{FF2B5EF4-FFF2-40B4-BE49-F238E27FC236}">
              <a16:creationId xmlns:a16="http://schemas.microsoft.com/office/drawing/2014/main" id="{1AC9134B-776E-B0F9-D088-E21707299D05}"/>
            </a:ext>
          </a:extLst>
        </xdr:cNvPr>
        <xdr:cNvCxnSpPr/>
      </xdr:nvCxnSpPr>
      <xdr:spPr>
        <a:xfrm rot="-600000">
          <a:off x="6460193" y="5466228"/>
          <a:ext cx="1538195" cy="0"/>
        </a:xfrm>
        <a:prstGeom prst="line">
          <a:avLst/>
        </a:prstGeom>
        <a:ln>
          <a:solidFill>
            <a:srgbClr val="00206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362322</xdr:colOff>
      <xdr:row>46</xdr:row>
      <xdr:rowOff>72571</xdr:rowOff>
    </xdr:from>
    <xdr:to>
      <xdr:col>10</xdr:col>
      <xdr:colOff>0</xdr:colOff>
      <xdr:row>48</xdr:row>
      <xdr:rowOff>136071</xdr:rowOff>
    </xdr:to>
    <xdr:sp macro="" textlink="">
      <xdr:nvSpPr>
        <xdr:cNvPr id="20" name="TextBox 19">
          <a:extLst>
            <a:ext uri="{FF2B5EF4-FFF2-40B4-BE49-F238E27FC236}">
              <a16:creationId xmlns:a16="http://schemas.microsoft.com/office/drawing/2014/main" id="{960A2184-0DC7-7BBD-6C52-CCF8F1F147BE}"/>
            </a:ext>
          </a:extLst>
        </xdr:cNvPr>
        <xdr:cNvSpPr txBox="1"/>
      </xdr:nvSpPr>
      <xdr:spPr>
        <a:xfrm>
          <a:off x="5342536" y="8454571"/>
          <a:ext cx="2912464" cy="4445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cs-CZ" sz="1100" b="1" u="sng">
              <a:solidFill>
                <a:schemeClr val="dk1"/>
              </a:solidFill>
              <a:latin typeface="+mn-lt"/>
              <a:ea typeface="+mn-ea"/>
              <a:cs typeface="+mn-cs"/>
            </a:rPr>
            <a:t>Clean Price</a:t>
          </a:r>
          <a:r>
            <a:rPr lang="cs-CZ" sz="1100" b="0" u="none">
              <a:solidFill>
                <a:schemeClr val="dk1"/>
              </a:solidFill>
              <a:latin typeface="+mn-lt"/>
              <a:ea typeface="+mn-ea"/>
              <a:cs typeface="+mn-cs"/>
            </a:rPr>
            <a:t>: this</a:t>
          </a:r>
          <a:r>
            <a:rPr lang="cs-CZ" sz="1100" b="0" u="none" baseline="0">
              <a:solidFill>
                <a:schemeClr val="dk1"/>
              </a:solidFill>
              <a:latin typeface="+mn-lt"/>
              <a:ea typeface="+mn-ea"/>
              <a:cs typeface="+mn-cs"/>
            </a:rPr>
            <a:t> is the number quoted by data providers (see sheet Solution 1)</a:t>
          </a:r>
          <a:endParaRPr lang="cs-CZ" sz="1100" b="0" u="none">
            <a:solidFill>
              <a:schemeClr val="dk1"/>
            </a:solidFill>
            <a:latin typeface="+mn-lt"/>
            <a:ea typeface="+mn-ea"/>
            <a:cs typeface="+mn-cs"/>
          </a:endParaRPr>
        </a:p>
      </xdr:txBody>
    </xdr:sp>
    <xdr:clientData/>
  </xdr:twoCellAnchor>
  <xdr:twoCellAnchor>
    <xdr:from>
      <xdr:col>3</xdr:col>
      <xdr:colOff>110194</xdr:colOff>
      <xdr:row>47</xdr:row>
      <xdr:rowOff>116541</xdr:rowOff>
    </xdr:from>
    <xdr:to>
      <xdr:col>5</xdr:col>
      <xdr:colOff>199094</xdr:colOff>
      <xdr:row>47</xdr:row>
      <xdr:rowOff>116541</xdr:rowOff>
    </xdr:to>
    <xdr:cxnSp macro="">
      <xdr:nvCxnSpPr>
        <xdr:cNvPr id="21" name="Straight Connector 20">
          <a:extLst>
            <a:ext uri="{FF2B5EF4-FFF2-40B4-BE49-F238E27FC236}">
              <a16:creationId xmlns:a16="http://schemas.microsoft.com/office/drawing/2014/main" id="{1C155EFC-61D7-EB81-B3A8-AFE2AF70AB49}"/>
            </a:ext>
          </a:extLst>
        </xdr:cNvPr>
        <xdr:cNvCxnSpPr/>
      </xdr:nvCxnSpPr>
      <xdr:spPr>
        <a:xfrm>
          <a:off x="3531723" y="7437717"/>
          <a:ext cx="1538195" cy="0"/>
        </a:xfrm>
        <a:prstGeom prst="line">
          <a:avLst/>
        </a:prstGeom>
        <a:ln>
          <a:solidFill>
            <a:srgbClr val="00206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140075</xdr:colOff>
      <xdr:row>55</xdr:row>
      <xdr:rowOff>94129</xdr:rowOff>
    </xdr:from>
    <xdr:to>
      <xdr:col>9</xdr:col>
      <xdr:colOff>453094</xdr:colOff>
      <xdr:row>55</xdr:row>
      <xdr:rowOff>94129</xdr:rowOff>
    </xdr:to>
    <xdr:cxnSp macro="">
      <xdr:nvCxnSpPr>
        <xdr:cNvPr id="22" name="Straight Connector 21">
          <a:extLst>
            <a:ext uri="{FF2B5EF4-FFF2-40B4-BE49-F238E27FC236}">
              <a16:creationId xmlns:a16="http://schemas.microsoft.com/office/drawing/2014/main" id="{C390D2BA-43F0-D489-8D9A-13D548BD1081}"/>
            </a:ext>
          </a:extLst>
        </xdr:cNvPr>
        <xdr:cNvCxnSpPr/>
      </xdr:nvCxnSpPr>
      <xdr:spPr>
        <a:xfrm rot="600000">
          <a:off x="6460193" y="8916894"/>
          <a:ext cx="1538195" cy="0"/>
        </a:xfrm>
        <a:prstGeom prst="line">
          <a:avLst/>
        </a:prstGeom>
        <a:ln>
          <a:solidFill>
            <a:srgbClr val="00206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140075</xdr:colOff>
      <xdr:row>54</xdr:row>
      <xdr:rowOff>5229</xdr:rowOff>
    </xdr:from>
    <xdr:to>
      <xdr:col>9</xdr:col>
      <xdr:colOff>453094</xdr:colOff>
      <xdr:row>54</xdr:row>
      <xdr:rowOff>5229</xdr:rowOff>
    </xdr:to>
    <xdr:cxnSp macro="">
      <xdr:nvCxnSpPr>
        <xdr:cNvPr id="23" name="Straight Connector 22">
          <a:extLst>
            <a:ext uri="{FF2B5EF4-FFF2-40B4-BE49-F238E27FC236}">
              <a16:creationId xmlns:a16="http://schemas.microsoft.com/office/drawing/2014/main" id="{BC5FF22D-0B7A-6E1F-5499-F83A0A4EC020}"/>
            </a:ext>
          </a:extLst>
        </xdr:cNvPr>
        <xdr:cNvCxnSpPr/>
      </xdr:nvCxnSpPr>
      <xdr:spPr>
        <a:xfrm rot="-600000">
          <a:off x="6460193" y="8641229"/>
          <a:ext cx="1538195" cy="0"/>
        </a:xfrm>
        <a:prstGeom prst="line">
          <a:avLst/>
        </a:prstGeom>
        <a:ln>
          <a:solidFill>
            <a:srgbClr val="00206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93381</xdr:colOff>
      <xdr:row>52</xdr:row>
      <xdr:rowOff>67235</xdr:rowOff>
    </xdr:from>
    <xdr:to>
      <xdr:col>16</xdr:col>
      <xdr:colOff>276412</xdr:colOff>
      <xdr:row>56</xdr:row>
      <xdr:rowOff>156883</xdr:rowOff>
    </xdr:to>
    <xdr:sp macro="" textlink="">
      <xdr:nvSpPr>
        <xdr:cNvPr id="24" name="TextBox 23">
          <a:extLst>
            <a:ext uri="{FF2B5EF4-FFF2-40B4-BE49-F238E27FC236}">
              <a16:creationId xmlns:a16="http://schemas.microsoft.com/office/drawing/2014/main" id="{FD4659EE-86C6-FC1E-914D-23D22FDB754D}"/>
            </a:ext>
          </a:extLst>
        </xdr:cNvPr>
        <xdr:cNvSpPr txBox="1"/>
      </xdr:nvSpPr>
      <xdr:spPr>
        <a:xfrm>
          <a:off x="8251263" y="8329706"/>
          <a:ext cx="3858561" cy="836706"/>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cs-CZ" sz="1100" b="1" u="sng">
              <a:solidFill>
                <a:schemeClr val="dk1"/>
              </a:solidFill>
              <a:latin typeface="+mn-lt"/>
              <a:ea typeface="+mn-ea"/>
              <a:cs typeface="+mn-cs"/>
            </a:rPr>
            <a:t>Total payment</a:t>
          </a:r>
          <a:r>
            <a:rPr lang="cs-CZ" sz="1100" b="0" u="none">
              <a:solidFill>
                <a:schemeClr val="dk1"/>
              </a:solidFill>
              <a:latin typeface="+mn-lt"/>
              <a:ea typeface="+mn-ea"/>
              <a:cs typeface="+mn-cs"/>
            </a:rPr>
            <a:t>: the payments are expressed in price level of today's date (multiplication of the cash flows by the</a:t>
          </a:r>
          <a:r>
            <a:rPr lang="cs-CZ" sz="1100" b="0" u="none" baseline="0">
              <a:solidFill>
                <a:schemeClr val="dk1"/>
              </a:solidFill>
              <a:latin typeface="+mn-lt"/>
              <a:ea typeface="+mn-ea"/>
              <a:cs typeface="+mn-cs"/>
            </a:rPr>
            <a:t> present inflation coefficient of </a:t>
          </a:r>
          <a:r>
            <a:rPr lang="en-US" sz="1100" b="0" i="0" u="none" strike="noStrike">
              <a:solidFill>
                <a:schemeClr val="dk1"/>
              </a:solidFill>
              <a:effectLst/>
              <a:latin typeface="+mn-lt"/>
              <a:ea typeface="+mn-ea"/>
              <a:cs typeface="+mn-cs"/>
            </a:rPr>
            <a:t>1.29437</a:t>
          </a:r>
          <a:r>
            <a:rPr lang="cs-CZ" sz="1100" b="0" u="none" baseline="0">
              <a:solidFill>
                <a:schemeClr val="dk1"/>
              </a:solidFill>
              <a:latin typeface="+mn-lt"/>
              <a:ea typeface="+mn-ea"/>
              <a:cs typeface="+mn-cs"/>
            </a:rPr>
            <a:t>)</a:t>
          </a:r>
          <a:r>
            <a:rPr lang="cs-CZ" sz="1100" b="0" u="none">
              <a:solidFill>
                <a:schemeClr val="dk1"/>
              </a:solidFill>
              <a:latin typeface="+mn-lt"/>
              <a:ea typeface="+mn-ea"/>
              <a:cs typeface="+mn-cs"/>
            </a:rPr>
            <a:t> </a:t>
          </a:r>
          <a:r>
            <a:rPr lang="cs-CZ" sz="1100" b="0" u="none" baseline="0">
              <a:solidFill>
                <a:schemeClr val="dk1"/>
              </a:solidFill>
              <a:latin typeface="+mn-lt"/>
              <a:ea typeface="+mn-ea"/>
              <a:cs typeface="+mn-cs"/>
            </a:rPr>
            <a:t>= assumption of zero price level growth ever since today; we do not receive these amounts!</a:t>
          </a:r>
          <a:endParaRPr lang="cs-CZ" sz="1100" b="0" u="none">
            <a:solidFill>
              <a:schemeClr val="dk1"/>
            </a:solidFill>
            <a:latin typeface="+mn-lt"/>
            <a:ea typeface="+mn-ea"/>
            <a:cs typeface="+mn-cs"/>
          </a:endParaRPr>
        </a:p>
      </xdr:txBody>
    </xdr:sp>
    <xdr:clientData/>
  </xdr:twoCellAnchor>
  <xdr:twoCellAnchor>
    <xdr:from>
      <xdr:col>1</xdr:col>
      <xdr:colOff>6350</xdr:colOff>
      <xdr:row>11</xdr:row>
      <xdr:rowOff>9070</xdr:rowOff>
    </xdr:from>
    <xdr:to>
      <xdr:col>7</xdr:col>
      <xdr:colOff>211043</xdr:colOff>
      <xdr:row>14</xdr:row>
      <xdr:rowOff>99092</xdr:rowOff>
    </xdr:to>
    <xdr:sp macro="" textlink="">
      <xdr:nvSpPr>
        <xdr:cNvPr id="4" name="TextovéPole 16">
          <a:hlinkClick xmlns:r="http://schemas.openxmlformats.org/officeDocument/2006/relationships" r:id="rId2"/>
          <a:extLst>
            <a:ext uri="{FF2B5EF4-FFF2-40B4-BE49-F238E27FC236}">
              <a16:creationId xmlns:a16="http://schemas.microsoft.com/office/drawing/2014/main" id="{5D8A6A6E-1C66-1BB3-7754-F3654D2AAD37}"/>
            </a:ext>
          </a:extLst>
        </xdr:cNvPr>
        <xdr:cNvSpPr txBox="1"/>
      </xdr:nvSpPr>
      <xdr:spPr>
        <a:xfrm>
          <a:off x="106136" y="1460499"/>
          <a:ext cx="6536550" cy="6343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DE0001030559</a:t>
          </a:r>
          <a:r>
            <a:rPr lang="en-US">
              <a:effectLst/>
            </a:rPr>
            <a:t> </a:t>
          </a:r>
          <a:r>
            <a:rPr lang="cs-CZ" sz="1100" baseline="0">
              <a:solidFill>
                <a:schemeClr val="dk1"/>
              </a:solidFill>
              <a:effectLst/>
              <a:latin typeface="+mn-lt"/>
              <a:ea typeface="+mn-ea"/>
              <a:cs typeface="+mn-cs"/>
            </a:rPr>
            <a:t>Issuance Prospectus:</a:t>
          </a:r>
          <a:endParaRPr lang="en-US">
            <a:effectLst/>
          </a:endParaRPr>
        </a:p>
        <a:p>
          <a:r>
            <a:rPr lang="en-US" sz="1100" b="0" i="0" u="sng">
              <a:solidFill>
                <a:srgbClr val="0000FF"/>
              </a:solidFill>
              <a:effectLst/>
              <a:latin typeface="+mn-lt"/>
              <a:ea typeface="+mn-ea"/>
              <a:cs typeface="+mn-cs"/>
            </a:rPr>
            <a:t>https://www.deutsche-finanzagentur.de/fileadmin/user_upload/Institutionelle-investoren/emissionsbedingungen/en/Emissionsbedingungen_ILB_2013_en.pdf</a:t>
          </a:r>
          <a:endParaRPr lang="en-US">
            <a:solidFill>
              <a:srgbClr val="0000FF"/>
            </a:solidFill>
            <a:effectLst/>
          </a:endParaRPr>
        </a:p>
      </xdr:txBody>
    </xdr:sp>
    <xdr:clientData/>
  </xdr:twoCellAnchor>
  <xdr:twoCellAnchor>
    <xdr:from>
      <xdr:col>1</xdr:col>
      <xdr:colOff>54429</xdr:colOff>
      <xdr:row>0</xdr:row>
      <xdr:rowOff>54429</xdr:rowOff>
    </xdr:from>
    <xdr:to>
      <xdr:col>1</xdr:col>
      <xdr:colOff>1152606</xdr:colOff>
      <xdr:row>3</xdr:row>
      <xdr:rowOff>3202</xdr:rowOff>
    </xdr:to>
    <xdr:sp macro="" textlink="">
      <xdr:nvSpPr>
        <xdr:cNvPr id="7" name="Obdélník 6">
          <a:hlinkClick xmlns:r="http://schemas.openxmlformats.org/officeDocument/2006/relationships" r:id="rId3"/>
          <a:extLst>
            <a:ext uri="{FF2B5EF4-FFF2-40B4-BE49-F238E27FC236}">
              <a16:creationId xmlns:a16="http://schemas.microsoft.com/office/drawing/2014/main" id="{F7EA0005-826E-468B-A0CF-3B918F55EE46}"/>
            </a:ext>
          </a:extLst>
        </xdr:cNvPr>
        <xdr:cNvSpPr/>
      </xdr:nvSpPr>
      <xdr:spPr>
        <a:xfrm>
          <a:off x="154215" y="54429"/>
          <a:ext cx="1098177" cy="493059"/>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cs-CZ" sz="1100" b="1"/>
            <a:t>BACK</a:t>
          </a:r>
          <a:r>
            <a:rPr lang="cs-CZ" sz="1100" b="1" baseline="0"/>
            <a:t> TO </a:t>
          </a:r>
          <a:r>
            <a:rPr lang="cs-CZ" sz="1100" b="1"/>
            <a:t>MENU</a:t>
          </a:r>
          <a:endParaRPr lang="en-US" sz="1100" b="1"/>
        </a:p>
      </xdr:txBody>
    </xdr:sp>
    <xdr:clientData/>
  </xdr:twoCellAnchor>
  <xdr:twoCellAnchor>
    <xdr:from>
      <xdr:col>3</xdr:col>
      <xdr:colOff>222251</xdr:colOff>
      <xdr:row>23</xdr:row>
      <xdr:rowOff>119742</xdr:rowOff>
    </xdr:from>
    <xdr:to>
      <xdr:col>5</xdr:col>
      <xdr:colOff>311151</xdr:colOff>
      <xdr:row>23</xdr:row>
      <xdr:rowOff>119742</xdr:rowOff>
    </xdr:to>
    <xdr:cxnSp macro="">
      <xdr:nvCxnSpPr>
        <xdr:cNvPr id="8" name="Straight Connector 4">
          <a:extLst>
            <a:ext uri="{FF2B5EF4-FFF2-40B4-BE49-F238E27FC236}">
              <a16:creationId xmlns:a16="http://schemas.microsoft.com/office/drawing/2014/main" id="{E05189BE-7453-42EA-8CBB-9C9B5AA4D9C2}"/>
            </a:ext>
          </a:extLst>
        </xdr:cNvPr>
        <xdr:cNvCxnSpPr/>
      </xdr:nvCxnSpPr>
      <xdr:spPr>
        <a:xfrm rot="600000">
          <a:off x="3751037" y="4319813"/>
          <a:ext cx="1540328" cy="0"/>
        </a:xfrm>
        <a:prstGeom prst="line">
          <a:avLst/>
        </a:prstGeom>
        <a:ln>
          <a:solidFill>
            <a:srgbClr val="00206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222251</xdr:colOff>
      <xdr:row>22</xdr:row>
      <xdr:rowOff>30841</xdr:rowOff>
    </xdr:from>
    <xdr:to>
      <xdr:col>5</xdr:col>
      <xdr:colOff>311151</xdr:colOff>
      <xdr:row>22</xdr:row>
      <xdr:rowOff>30841</xdr:rowOff>
    </xdr:to>
    <xdr:cxnSp macro="">
      <xdr:nvCxnSpPr>
        <xdr:cNvPr id="16" name="Straight Connector 10">
          <a:extLst>
            <a:ext uri="{FF2B5EF4-FFF2-40B4-BE49-F238E27FC236}">
              <a16:creationId xmlns:a16="http://schemas.microsoft.com/office/drawing/2014/main" id="{B8941B33-23B6-AB9C-DCD9-FCCFAFB1145C}"/>
            </a:ext>
          </a:extLst>
        </xdr:cNvPr>
        <xdr:cNvCxnSpPr/>
      </xdr:nvCxnSpPr>
      <xdr:spPr>
        <a:xfrm rot="-600000">
          <a:off x="3751037" y="4049484"/>
          <a:ext cx="1540328" cy="0"/>
        </a:xfrm>
        <a:prstGeom prst="line">
          <a:avLst/>
        </a:prstGeom>
        <a:ln>
          <a:solidFill>
            <a:srgbClr val="002060"/>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63500</xdr:colOff>
      <xdr:row>3</xdr:row>
      <xdr:rowOff>0</xdr:rowOff>
    </xdr:from>
    <xdr:to>
      <xdr:col>12</xdr:col>
      <xdr:colOff>433294</xdr:colOff>
      <xdr:row>6</xdr:row>
      <xdr:rowOff>186764</xdr:rowOff>
    </xdr:to>
    <xdr:sp macro="" textlink="">
      <xdr:nvSpPr>
        <xdr:cNvPr id="2" name="TextovéPole 15">
          <a:extLst>
            <a:ext uri="{FF2B5EF4-FFF2-40B4-BE49-F238E27FC236}">
              <a16:creationId xmlns:a16="http://schemas.microsoft.com/office/drawing/2014/main" id="{883499ED-3FE6-4D33-A604-8A6625A8C59E}"/>
            </a:ext>
          </a:extLst>
        </xdr:cNvPr>
        <xdr:cNvSpPr txBox="1"/>
      </xdr:nvSpPr>
      <xdr:spPr>
        <a:xfrm>
          <a:off x="63500" y="0"/>
          <a:ext cx="10256744" cy="7392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100" b="1" u="sng"/>
            <a:t>PROBLEM</a:t>
          </a:r>
          <a:r>
            <a:rPr lang="cs-CZ" sz="1100" b="1" u="sng" baseline="0"/>
            <a:t> 3</a:t>
          </a:r>
        </a:p>
        <a:p>
          <a:r>
            <a:rPr lang="cs-CZ" sz="1100"/>
            <a:t>Estimate the expected</a:t>
          </a:r>
          <a:r>
            <a:rPr lang="cs-CZ" sz="1100" baseline="0"/>
            <a:t> average inflation rate within the residual maturity timeframe using both the full and and the approximative version of the Fisher equation.</a:t>
          </a:r>
        </a:p>
        <a:p>
          <a:endParaRPr lang="cs-CZ" sz="1100" baseline="0"/>
        </a:p>
      </xdr:txBody>
    </xdr:sp>
    <xdr:clientData/>
  </xdr:twoCellAnchor>
  <xdr:twoCellAnchor>
    <xdr:from>
      <xdr:col>0</xdr:col>
      <xdr:colOff>63500</xdr:colOff>
      <xdr:row>6</xdr:row>
      <xdr:rowOff>0</xdr:rowOff>
    </xdr:from>
    <xdr:to>
      <xdr:col>11</xdr:col>
      <xdr:colOff>279773</xdr:colOff>
      <xdr:row>8</xdr:row>
      <xdr:rowOff>101600</xdr:rowOff>
    </xdr:to>
    <xdr:sp macro="" textlink="">
      <xdr:nvSpPr>
        <xdr:cNvPr id="3" name="TextovéPole 15">
          <a:hlinkClick xmlns:r="http://schemas.openxmlformats.org/officeDocument/2006/relationships" r:id="rId1"/>
          <a:extLst>
            <a:ext uri="{FF2B5EF4-FFF2-40B4-BE49-F238E27FC236}">
              <a16:creationId xmlns:a16="http://schemas.microsoft.com/office/drawing/2014/main" id="{8F844286-4605-4910-87BD-D706C42C6040}"/>
            </a:ext>
          </a:extLst>
        </xdr:cNvPr>
        <xdr:cNvSpPr txBox="1"/>
      </xdr:nvSpPr>
      <xdr:spPr>
        <a:xfrm>
          <a:off x="63500" y="552450"/>
          <a:ext cx="9493623" cy="469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100" b="0" u="none"/>
            <a:t>Data - nominal bond:</a:t>
          </a:r>
          <a:endParaRPr lang="cs-CZ" sz="1100" b="0" u="none" baseline="0"/>
        </a:p>
        <a:p>
          <a:pPr marL="0" indent="0"/>
          <a:r>
            <a:rPr lang="cs-CZ" sz="1100" b="0" i="0" u="sng">
              <a:solidFill>
                <a:srgbClr val="0000FF"/>
              </a:solidFill>
              <a:effectLst/>
              <a:latin typeface="+mn-lt"/>
              <a:ea typeface="+mn-ea"/>
              <a:cs typeface="+mn-cs"/>
            </a:rPr>
            <a:t>https://www.deutsche-finanzagentur.de/en/federal-securities/factsheet/isin/DE000BU25042?cHash=71de08140a6391064a6da45268238870</a:t>
          </a:r>
        </a:p>
      </xdr:txBody>
    </xdr:sp>
    <xdr:clientData/>
  </xdr:twoCellAnchor>
  <xdr:twoCellAnchor>
    <xdr:from>
      <xdr:col>0</xdr:col>
      <xdr:colOff>63500</xdr:colOff>
      <xdr:row>8</xdr:row>
      <xdr:rowOff>133350</xdr:rowOff>
    </xdr:from>
    <xdr:to>
      <xdr:col>11</xdr:col>
      <xdr:colOff>279773</xdr:colOff>
      <xdr:row>11</xdr:row>
      <xdr:rowOff>50800</xdr:rowOff>
    </xdr:to>
    <xdr:sp macro="" textlink="">
      <xdr:nvSpPr>
        <xdr:cNvPr id="4" name="TextovéPole 15">
          <a:hlinkClick xmlns:r="http://schemas.openxmlformats.org/officeDocument/2006/relationships" r:id="rId2"/>
          <a:extLst>
            <a:ext uri="{FF2B5EF4-FFF2-40B4-BE49-F238E27FC236}">
              <a16:creationId xmlns:a16="http://schemas.microsoft.com/office/drawing/2014/main" id="{82479781-53F0-4587-8257-B6D88DC45E9B}"/>
            </a:ext>
          </a:extLst>
        </xdr:cNvPr>
        <xdr:cNvSpPr txBox="1"/>
      </xdr:nvSpPr>
      <xdr:spPr>
        <a:xfrm>
          <a:off x="63500" y="1054100"/>
          <a:ext cx="9493623" cy="469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100" b="0" u="none"/>
            <a:t>Data - real bond:</a:t>
          </a:r>
          <a:endParaRPr lang="cs-CZ" sz="1100" b="0" u="none" baseline="0"/>
        </a:p>
        <a:p>
          <a:pPr marL="0" indent="0"/>
          <a:r>
            <a:rPr lang="cs-CZ" sz="1100" b="0" i="0" u="sng">
              <a:solidFill>
                <a:srgbClr val="0000FF"/>
              </a:solidFill>
              <a:effectLst/>
              <a:latin typeface="+mn-lt"/>
              <a:ea typeface="+mn-ea"/>
              <a:cs typeface="+mn-cs"/>
            </a:rPr>
            <a:t>https://www.deutsche-finanzagentur.de/en/federal-securities/factsheet/isin/DE0001030559?cHash=f50ce7c312f099a9c4fb322168c0c5e3</a:t>
          </a:r>
        </a:p>
      </xdr:txBody>
    </xdr:sp>
    <xdr:clientData/>
  </xdr:twoCellAnchor>
  <xdr:twoCellAnchor>
    <xdr:from>
      <xdr:col>3</xdr:col>
      <xdr:colOff>361950</xdr:colOff>
      <xdr:row>21</xdr:row>
      <xdr:rowOff>95250</xdr:rowOff>
    </xdr:from>
    <xdr:to>
      <xdr:col>5</xdr:col>
      <xdr:colOff>260350</xdr:colOff>
      <xdr:row>24</xdr:row>
      <xdr:rowOff>133350</xdr:rowOff>
    </xdr:to>
    <xdr:sp macro="" textlink="">
      <xdr:nvSpPr>
        <xdr:cNvPr id="5" name="Isosceles Triangle 4">
          <a:extLst>
            <a:ext uri="{FF2B5EF4-FFF2-40B4-BE49-F238E27FC236}">
              <a16:creationId xmlns:a16="http://schemas.microsoft.com/office/drawing/2014/main" id="{A50D6265-023E-485D-BAC7-A72B227EAC3B}"/>
            </a:ext>
          </a:extLst>
        </xdr:cNvPr>
        <xdr:cNvSpPr/>
      </xdr:nvSpPr>
      <xdr:spPr>
        <a:xfrm rot="10800000">
          <a:off x="3308350" y="3422650"/>
          <a:ext cx="1117600" cy="590550"/>
        </a:xfrm>
        <a:prstGeom prst="triangl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22411</xdr:colOff>
      <xdr:row>0</xdr:row>
      <xdr:rowOff>59765</xdr:rowOff>
    </xdr:from>
    <xdr:to>
      <xdr:col>1</xdr:col>
      <xdr:colOff>1120588</xdr:colOff>
      <xdr:row>2</xdr:row>
      <xdr:rowOff>179295</xdr:rowOff>
    </xdr:to>
    <xdr:sp macro="" textlink="">
      <xdr:nvSpPr>
        <xdr:cNvPr id="13" name="Obdélník 12">
          <a:hlinkClick xmlns:r="http://schemas.openxmlformats.org/officeDocument/2006/relationships" r:id="rId3"/>
          <a:extLst>
            <a:ext uri="{FF2B5EF4-FFF2-40B4-BE49-F238E27FC236}">
              <a16:creationId xmlns:a16="http://schemas.microsoft.com/office/drawing/2014/main" id="{33164ACD-EDD0-4D7A-8F46-1E9B9E3498D3}"/>
            </a:ext>
          </a:extLst>
        </xdr:cNvPr>
        <xdr:cNvSpPr/>
      </xdr:nvSpPr>
      <xdr:spPr>
        <a:xfrm>
          <a:off x="126999" y="59765"/>
          <a:ext cx="1098177" cy="493059"/>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cs-CZ" sz="1100" b="1"/>
            <a:t>BACK</a:t>
          </a:r>
          <a:r>
            <a:rPr lang="cs-CZ" sz="1100" b="1" baseline="0"/>
            <a:t> TO </a:t>
          </a:r>
          <a:r>
            <a:rPr lang="cs-CZ" sz="1100" b="1"/>
            <a:t>MENU</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63500</xdr:colOff>
      <xdr:row>3</xdr:row>
      <xdr:rowOff>0</xdr:rowOff>
    </xdr:from>
    <xdr:to>
      <xdr:col>12</xdr:col>
      <xdr:colOff>433294</xdr:colOff>
      <xdr:row>6</xdr:row>
      <xdr:rowOff>186764</xdr:rowOff>
    </xdr:to>
    <xdr:sp macro="" textlink="">
      <xdr:nvSpPr>
        <xdr:cNvPr id="2" name="TextovéPole 15">
          <a:extLst>
            <a:ext uri="{FF2B5EF4-FFF2-40B4-BE49-F238E27FC236}">
              <a16:creationId xmlns:a16="http://schemas.microsoft.com/office/drawing/2014/main" id="{67A6424D-D07D-4BE6-826E-843F2B5AB8F9}"/>
            </a:ext>
          </a:extLst>
        </xdr:cNvPr>
        <xdr:cNvSpPr txBox="1"/>
      </xdr:nvSpPr>
      <xdr:spPr>
        <a:xfrm>
          <a:off x="63500" y="0"/>
          <a:ext cx="10275794" cy="7470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100" b="1" u="sng"/>
            <a:t>PROBLEM</a:t>
          </a:r>
          <a:r>
            <a:rPr lang="cs-CZ" sz="1100" b="1" u="sng" baseline="0"/>
            <a:t> 3</a:t>
          </a:r>
        </a:p>
        <a:p>
          <a:r>
            <a:rPr lang="cs-CZ" sz="1100"/>
            <a:t>Inflation-linked bonds in conjuction with their nominal counterparts allow us to read off market</a:t>
          </a:r>
          <a:r>
            <a:rPr lang="cs-CZ" sz="1100" baseline="0"/>
            <a:t> expectations of average annual inflation rate in the period until bond the matures (abstracting from liquidity differentials and inflation permia). We compare the expected inflation estimated using the full version and the approximation of the Fisher formula</a:t>
          </a:r>
        </a:p>
        <a:p>
          <a:endParaRPr lang="cs-CZ" sz="1100" baseline="0"/>
        </a:p>
      </xdr:txBody>
    </xdr:sp>
    <xdr:clientData/>
  </xdr:twoCellAnchor>
  <xdr:twoCellAnchor>
    <xdr:from>
      <xdr:col>0</xdr:col>
      <xdr:colOff>63500</xdr:colOff>
      <xdr:row>6</xdr:row>
      <xdr:rowOff>0</xdr:rowOff>
    </xdr:from>
    <xdr:to>
      <xdr:col>11</xdr:col>
      <xdr:colOff>279773</xdr:colOff>
      <xdr:row>8</xdr:row>
      <xdr:rowOff>101600</xdr:rowOff>
    </xdr:to>
    <xdr:sp macro="" textlink="">
      <xdr:nvSpPr>
        <xdr:cNvPr id="3" name="TextovéPole 15">
          <a:hlinkClick xmlns:r="http://schemas.openxmlformats.org/officeDocument/2006/relationships" r:id="rId1"/>
          <a:extLst>
            <a:ext uri="{FF2B5EF4-FFF2-40B4-BE49-F238E27FC236}">
              <a16:creationId xmlns:a16="http://schemas.microsoft.com/office/drawing/2014/main" id="{47B730A4-737D-B799-3949-5E896E70D5D3}"/>
            </a:ext>
          </a:extLst>
        </xdr:cNvPr>
        <xdr:cNvSpPr txBox="1"/>
      </xdr:nvSpPr>
      <xdr:spPr>
        <a:xfrm>
          <a:off x="63500" y="560294"/>
          <a:ext cx="9509685" cy="4751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100" b="0" u="none"/>
            <a:t>Data - nominal bond:</a:t>
          </a:r>
          <a:endParaRPr lang="cs-CZ" sz="1100" b="0" u="none" baseline="0"/>
        </a:p>
        <a:p>
          <a:pPr marL="0" indent="0"/>
          <a:r>
            <a:rPr lang="cs-CZ" sz="1100" b="0" i="0" u="sng">
              <a:solidFill>
                <a:srgbClr val="0000FF"/>
              </a:solidFill>
              <a:effectLst/>
              <a:latin typeface="+mn-lt"/>
              <a:ea typeface="+mn-ea"/>
              <a:cs typeface="+mn-cs"/>
            </a:rPr>
            <a:t>https://www.deutsche-finanzagentur.de/en/federal-securities/factsheet/isin/DE000BU25042?cHash=71de08140a6391064a6da45268238870</a:t>
          </a:r>
        </a:p>
      </xdr:txBody>
    </xdr:sp>
    <xdr:clientData/>
  </xdr:twoCellAnchor>
  <xdr:twoCellAnchor>
    <xdr:from>
      <xdr:col>0</xdr:col>
      <xdr:colOff>63500</xdr:colOff>
      <xdr:row>8</xdr:row>
      <xdr:rowOff>133350</xdr:rowOff>
    </xdr:from>
    <xdr:to>
      <xdr:col>11</xdr:col>
      <xdr:colOff>279773</xdr:colOff>
      <xdr:row>11</xdr:row>
      <xdr:rowOff>50800</xdr:rowOff>
    </xdr:to>
    <xdr:sp macro="" textlink="">
      <xdr:nvSpPr>
        <xdr:cNvPr id="4" name="TextovéPole 15">
          <a:hlinkClick xmlns:r="http://schemas.openxmlformats.org/officeDocument/2006/relationships" r:id="rId2"/>
          <a:extLst>
            <a:ext uri="{FF2B5EF4-FFF2-40B4-BE49-F238E27FC236}">
              <a16:creationId xmlns:a16="http://schemas.microsoft.com/office/drawing/2014/main" id="{57971908-D9D8-E792-ABD1-08AB91CBBCCD}"/>
            </a:ext>
          </a:extLst>
        </xdr:cNvPr>
        <xdr:cNvSpPr txBox="1"/>
      </xdr:nvSpPr>
      <xdr:spPr>
        <a:xfrm>
          <a:off x="63500" y="1054100"/>
          <a:ext cx="8318873" cy="469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100" b="0" u="none"/>
            <a:t>Data - real bond:</a:t>
          </a:r>
          <a:endParaRPr lang="cs-CZ" sz="1100" b="0" u="none" baseline="0"/>
        </a:p>
        <a:p>
          <a:pPr marL="0" indent="0"/>
          <a:r>
            <a:rPr lang="cs-CZ" sz="1100" b="0" i="0" u="sng">
              <a:solidFill>
                <a:srgbClr val="0000FF"/>
              </a:solidFill>
              <a:effectLst/>
              <a:latin typeface="+mn-lt"/>
              <a:ea typeface="+mn-ea"/>
              <a:cs typeface="+mn-cs"/>
            </a:rPr>
            <a:t>https://www.deutsche-finanzagentur.de/en/federal-securities/factsheet/isin/DE0001030559?cHash=f50ce7c312f099a9c4fb322168c0c5e3</a:t>
          </a:r>
        </a:p>
      </xdr:txBody>
    </xdr:sp>
    <xdr:clientData/>
  </xdr:twoCellAnchor>
  <xdr:twoCellAnchor>
    <xdr:from>
      <xdr:col>3</xdr:col>
      <xdr:colOff>361950</xdr:colOff>
      <xdr:row>21</xdr:row>
      <xdr:rowOff>95250</xdr:rowOff>
    </xdr:from>
    <xdr:to>
      <xdr:col>5</xdr:col>
      <xdr:colOff>260350</xdr:colOff>
      <xdr:row>24</xdr:row>
      <xdr:rowOff>133350</xdr:rowOff>
    </xdr:to>
    <xdr:sp macro="" textlink="">
      <xdr:nvSpPr>
        <xdr:cNvPr id="5" name="Isosceles Triangle 4">
          <a:extLst>
            <a:ext uri="{FF2B5EF4-FFF2-40B4-BE49-F238E27FC236}">
              <a16:creationId xmlns:a16="http://schemas.microsoft.com/office/drawing/2014/main" id="{296504EA-8A4F-3264-28B6-2F740A02A0EA}"/>
            </a:ext>
          </a:extLst>
        </xdr:cNvPr>
        <xdr:cNvSpPr/>
      </xdr:nvSpPr>
      <xdr:spPr>
        <a:xfrm rot="10800000">
          <a:off x="3028950" y="3054350"/>
          <a:ext cx="1117600" cy="590550"/>
        </a:xfrm>
        <a:prstGeom prst="triangl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35</xdr:row>
      <xdr:rowOff>3566</xdr:rowOff>
    </xdr:from>
    <xdr:to>
      <xdr:col>6</xdr:col>
      <xdr:colOff>762000</xdr:colOff>
      <xdr:row>49</xdr:row>
      <xdr:rowOff>97673</xdr:rowOff>
    </xdr:to>
    <xdr:grpSp>
      <xdr:nvGrpSpPr>
        <xdr:cNvPr id="8" name="Group 7">
          <a:extLst>
            <a:ext uri="{FF2B5EF4-FFF2-40B4-BE49-F238E27FC236}">
              <a16:creationId xmlns:a16="http://schemas.microsoft.com/office/drawing/2014/main" id="{F352D697-DC7A-4433-3F9C-D6596CC4B79D}"/>
            </a:ext>
          </a:extLst>
        </xdr:cNvPr>
        <xdr:cNvGrpSpPr/>
      </xdr:nvGrpSpPr>
      <xdr:grpSpPr>
        <a:xfrm>
          <a:off x="0" y="6407995"/>
          <a:ext cx="5533571" cy="2634107"/>
          <a:chOff x="0" y="5601335"/>
          <a:chExt cx="5544038" cy="2692723"/>
        </a:xfrm>
      </xdr:grpSpPr>
      <xdr:pic>
        <xdr:nvPicPr>
          <xdr:cNvPr id="6" name="Picture 5">
            <a:extLst>
              <a:ext uri="{FF2B5EF4-FFF2-40B4-BE49-F238E27FC236}">
                <a16:creationId xmlns:a16="http://schemas.microsoft.com/office/drawing/2014/main" id="{DA3F5DAB-EB34-2EA1-9737-B90AC09D3C4B}"/>
              </a:ext>
            </a:extLst>
          </xdr:cNvPr>
          <xdr:cNvPicPr>
            <a:picLocks noChangeAspect="1"/>
          </xdr:cNvPicPr>
        </xdr:nvPicPr>
        <xdr:blipFill>
          <a:blip xmlns:r="http://schemas.openxmlformats.org/officeDocument/2006/relationships" r:embed="rId3"/>
          <a:stretch>
            <a:fillRect/>
          </a:stretch>
        </xdr:blipFill>
        <xdr:spPr>
          <a:xfrm>
            <a:off x="0" y="5601335"/>
            <a:ext cx="5544038" cy="2692723"/>
          </a:xfrm>
          <a:prstGeom prst="rect">
            <a:avLst/>
          </a:prstGeom>
        </xdr:spPr>
      </xdr:pic>
      <xdr:sp macro="" textlink="">
        <xdr:nvSpPr>
          <xdr:cNvPr id="7" name="Rectangle 6">
            <a:extLst>
              <a:ext uri="{FF2B5EF4-FFF2-40B4-BE49-F238E27FC236}">
                <a16:creationId xmlns:a16="http://schemas.microsoft.com/office/drawing/2014/main" id="{56C77BA6-5663-F698-E462-3E68E92145AD}"/>
              </a:ext>
            </a:extLst>
          </xdr:cNvPr>
          <xdr:cNvSpPr/>
        </xdr:nvSpPr>
        <xdr:spPr>
          <a:xfrm>
            <a:off x="3486187" y="6405279"/>
            <a:ext cx="1556046" cy="167029"/>
          </a:xfrm>
          <a:prstGeom prst="rect">
            <a:avLst/>
          </a:prstGeom>
          <a:solidFill>
            <a:srgbClr val="FFFF66">
              <a:alpha val="29000"/>
            </a:srgbClr>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231588</xdr:colOff>
      <xdr:row>29</xdr:row>
      <xdr:rowOff>29137</xdr:rowOff>
    </xdr:from>
    <xdr:to>
      <xdr:col>7</xdr:col>
      <xdr:colOff>6724</xdr:colOff>
      <xdr:row>29</xdr:row>
      <xdr:rowOff>29137</xdr:rowOff>
    </xdr:to>
    <xdr:cxnSp macro="">
      <xdr:nvCxnSpPr>
        <xdr:cNvPr id="9" name="Straight Connector 8">
          <a:extLst>
            <a:ext uri="{FF2B5EF4-FFF2-40B4-BE49-F238E27FC236}">
              <a16:creationId xmlns:a16="http://schemas.microsoft.com/office/drawing/2014/main" id="{09617EE7-40CF-496B-B1B5-4EC9E44A1AED}"/>
            </a:ext>
          </a:extLst>
        </xdr:cNvPr>
        <xdr:cNvCxnSpPr/>
      </xdr:nvCxnSpPr>
      <xdr:spPr>
        <a:xfrm rot="600000">
          <a:off x="5012764" y="4929843"/>
          <a:ext cx="1538195" cy="0"/>
        </a:xfrm>
        <a:prstGeom prst="line">
          <a:avLst/>
        </a:prstGeom>
        <a:ln>
          <a:solidFill>
            <a:srgbClr val="00206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231588</xdr:colOff>
      <xdr:row>25</xdr:row>
      <xdr:rowOff>141944</xdr:rowOff>
    </xdr:from>
    <xdr:to>
      <xdr:col>7</xdr:col>
      <xdr:colOff>6724</xdr:colOff>
      <xdr:row>25</xdr:row>
      <xdr:rowOff>141944</xdr:rowOff>
    </xdr:to>
    <xdr:cxnSp macro="">
      <xdr:nvCxnSpPr>
        <xdr:cNvPr id="10" name="Straight Connector 9">
          <a:extLst>
            <a:ext uri="{FF2B5EF4-FFF2-40B4-BE49-F238E27FC236}">
              <a16:creationId xmlns:a16="http://schemas.microsoft.com/office/drawing/2014/main" id="{600961A3-63B2-408A-AC2A-123105F6EBCE}"/>
            </a:ext>
          </a:extLst>
        </xdr:cNvPr>
        <xdr:cNvCxnSpPr/>
      </xdr:nvCxnSpPr>
      <xdr:spPr>
        <a:xfrm rot="-600000">
          <a:off x="5012764" y="4265709"/>
          <a:ext cx="1538195" cy="0"/>
        </a:xfrm>
        <a:prstGeom prst="line">
          <a:avLst/>
        </a:prstGeom>
        <a:ln>
          <a:solidFill>
            <a:srgbClr val="00206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194236</xdr:colOff>
      <xdr:row>22</xdr:row>
      <xdr:rowOff>127000</xdr:rowOff>
    </xdr:from>
    <xdr:to>
      <xdr:col>11</xdr:col>
      <xdr:colOff>392208</xdr:colOff>
      <xdr:row>27</xdr:row>
      <xdr:rowOff>0</xdr:rowOff>
    </xdr:to>
    <xdr:sp macro="" textlink="">
      <xdr:nvSpPr>
        <xdr:cNvPr id="15" name="TextBox 14">
          <a:extLst>
            <a:ext uri="{FF2B5EF4-FFF2-40B4-BE49-F238E27FC236}">
              <a16:creationId xmlns:a16="http://schemas.microsoft.com/office/drawing/2014/main" id="{6F292FAB-F80A-4294-B3B0-405994754FA5}"/>
            </a:ext>
          </a:extLst>
        </xdr:cNvPr>
        <xdr:cNvSpPr txBox="1"/>
      </xdr:nvSpPr>
      <xdr:spPr>
        <a:xfrm>
          <a:off x="6738471" y="3690471"/>
          <a:ext cx="2947149" cy="821764"/>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cs-CZ" sz="1100" b="1" u="sng">
              <a:solidFill>
                <a:schemeClr val="dk1"/>
              </a:solidFill>
              <a:latin typeface="+mn-lt"/>
              <a:ea typeface="+mn-ea"/>
              <a:cs typeface="+mn-cs"/>
            </a:rPr>
            <a:t>Fisher equation</a:t>
          </a:r>
          <a:r>
            <a:rPr lang="cs-CZ" sz="1100" b="0" u="none">
              <a:solidFill>
                <a:schemeClr val="dk1"/>
              </a:solidFill>
              <a:latin typeface="+mn-lt"/>
              <a:ea typeface="+mn-ea"/>
              <a:cs typeface="+mn-cs"/>
            </a:rPr>
            <a:t>: </a:t>
          </a:r>
          <a:r>
            <a:rPr lang="cs-CZ" sz="1100" b="0" u="none">
              <a:solidFill>
                <a:schemeClr val="dk1"/>
              </a:solidFill>
              <a:effectLst/>
              <a:latin typeface="+mn-lt"/>
              <a:ea typeface="+mn-ea"/>
              <a:cs typeface="+mn-cs"/>
            </a:rPr>
            <a:t>the expected inflation is given by</a:t>
          </a:r>
          <a:r>
            <a:rPr lang="el-GR" sz="1100" b="0" u="none">
              <a:solidFill>
                <a:schemeClr val="dk1"/>
              </a:solidFill>
              <a:effectLst/>
              <a:latin typeface="+mn-lt"/>
              <a:ea typeface="+mn-ea"/>
              <a:cs typeface="+mn-cs"/>
            </a:rPr>
            <a:t> π</a:t>
          </a:r>
          <a:r>
            <a:rPr lang="cs-CZ" sz="1100" b="0" u="none">
              <a:solidFill>
                <a:schemeClr val="dk1"/>
              </a:solidFill>
              <a:effectLst/>
              <a:latin typeface="+mn-lt"/>
              <a:ea typeface="+mn-ea"/>
              <a:cs typeface="+mn-cs"/>
            </a:rPr>
            <a:t> = (1+i)/(1+r)-1,</a:t>
          </a:r>
          <a:r>
            <a:rPr lang="cs-CZ" sz="1100" b="0" u="none" baseline="0">
              <a:solidFill>
                <a:schemeClr val="dk1"/>
              </a:solidFill>
              <a:effectLst/>
              <a:latin typeface="+mn-lt"/>
              <a:ea typeface="+mn-ea"/>
              <a:cs typeface="+mn-cs"/>
            </a:rPr>
            <a:t> where i = nominal YTM, r = real YTM,</a:t>
          </a:r>
          <a:r>
            <a:rPr lang="cs-CZ" sz="1100" b="0" u="none">
              <a:solidFill>
                <a:schemeClr val="dk1"/>
              </a:solidFill>
              <a:effectLst/>
              <a:latin typeface="+mn-lt"/>
              <a:ea typeface="+mn-ea"/>
              <a:cs typeface="+mn-cs"/>
            </a:rPr>
            <a:t> notwithstanding the slight differential in maturity</a:t>
          </a:r>
          <a:r>
            <a:rPr lang="cs-CZ" sz="1100" b="0" u="none" baseline="0">
              <a:solidFill>
                <a:schemeClr val="dk1"/>
              </a:solidFill>
              <a:effectLst/>
              <a:latin typeface="+mn-lt"/>
              <a:ea typeface="+mn-ea"/>
              <a:cs typeface="+mn-cs"/>
            </a:rPr>
            <a:t> and duration</a:t>
          </a:r>
          <a:endParaRPr lang="cs-CZ" sz="1100" b="0" u="none">
            <a:solidFill>
              <a:schemeClr val="dk1"/>
            </a:solidFill>
            <a:latin typeface="+mn-lt"/>
            <a:ea typeface="+mn-ea"/>
            <a:cs typeface="+mn-cs"/>
          </a:endParaRPr>
        </a:p>
      </xdr:txBody>
    </xdr:sp>
    <xdr:clientData/>
  </xdr:twoCellAnchor>
  <xdr:twoCellAnchor>
    <xdr:from>
      <xdr:col>7</xdr:col>
      <xdr:colOff>194236</xdr:colOff>
      <xdr:row>27</xdr:row>
      <xdr:rowOff>186764</xdr:rowOff>
    </xdr:from>
    <xdr:to>
      <xdr:col>11</xdr:col>
      <xdr:colOff>392208</xdr:colOff>
      <xdr:row>32</xdr:row>
      <xdr:rowOff>164352</xdr:rowOff>
    </xdr:to>
    <xdr:sp macro="" textlink="">
      <xdr:nvSpPr>
        <xdr:cNvPr id="16" name="TextBox 15">
          <a:extLst>
            <a:ext uri="{FF2B5EF4-FFF2-40B4-BE49-F238E27FC236}">
              <a16:creationId xmlns:a16="http://schemas.microsoft.com/office/drawing/2014/main" id="{D3216C34-B7EA-B488-999B-482D3B5ECA33}"/>
            </a:ext>
          </a:extLst>
        </xdr:cNvPr>
        <xdr:cNvSpPr txBox="1"/>
      </xdr:nvSpPr>
      <xdr:spPr>
        <a:xfrm>
          <a:off x="6738471" y="4698999"/>
          <a:ext cx="2947149" cy="926353"/>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cs-CZ" sz="1100" b="1" u="sng">
              <a:solidFill>
                <a:schemeClr val="dk1"/>
              </a:solidFill>
              <a:latin typeface="+mn-lt"/>
              <a:ea typeface="+mn-ea"/>
              <a:cs typeface="+mn-cs"/>
            </a:rPr>
            <a:t>Fisher equation</a:t>
          </a:r>
          <a:r>
            <a:rPr lang="cs-CZ" sz="1100" b="0" u="none">
              <a:solidFill>
                <a:schemeClr val="dk1"/>
              </a:solidFill>
              <a:latin typeface="+mn-lt"/>
              <a:ea typeface="+mn-ea"/>
              <a:cs typeface="+mn-cs"/>
            </a:rPr>
            <a:t>: </a:t>
          </a:r>
          <a:r>
            <a:rPr lang="cs-CZ" sz="1100" b="0" u="none">
              <a:solidFill>
                <a:schemeClr val="dk1"/>
              </a:solidFill>
              <a:effectLst/>
              <a:latin typeface="+mn-lt"/>
              <a:ea typeface="+mn-ea"/>
              <a:cs typeface="+mn-cs"/>
            </a:rPr>
            <a:t>the expected inflation is given by</a:t>
          </a:r>
          <a:r>
            <a:rPr lang="el-GR" sz="1100" b="0" u="none">
              <a:solidFill>
                <a:schemeClr val="dk1"/>
              </a:solidFill>
              <a:effectLst/>
              <a:latin typeface="+mn-lt"/>
              <a:ea typeface="+mn-ea"/>
              <a:cs typeface="+mn-cs"/>
            </a:rPr>
            <a:t> </a:t>
          </a:r>
          <a:r>
            <a:rPr lang="cs-CZ" sz="1100" b="0" u="none">
              <a:solidFill>
                <a:schemeClr val="dk1"/>
              </a:solidFill>
              <a:effectLst/>
              <a:latin typeface="+mn-lt"/>
              <a:ea typeface="+mn-ea"/>
              <a:cs typeface="+mn-cs"/>
            </a:rPr>
            <a:t>the approximation </a:t>
          </a:r>
          <a:r>
            <a:rPr lang="el-GR" sz="1100" b="0" u="none">
              <a:solidFill>
                <a:schemeClr val="dk1"/>
              </a:solidFill>
              <a:effectLst/>
              <a:latin typeface="+mn-lt"/>
              <a:ea typeface="+mn-ea"/>
              <a:cs typeface="+mn-cs"/>
            </a:rPr>
            <a:t>π</a:t>
          </a:r>
          <a:r>
            <a:rPr lang="cs-CZ" sz="1100" b="0" u="none">
              <a:solidFill>
                <a:schemeClr val="dk1"/>
              </a:solidFill>
              <a:effectLst/>
              <a:latin typeface="+mn-lt"/>
              <a:ea typeface="+mn-ea"/>
              <a:cs typeface="+mn-cs"/>
            </a:rPr>
            <a:t> =  i - r,</a:t>
          </a:r>
          <a:r>
            <a:rPr lang="cs-CZ" sz="1100" b="0" u="none" baseline="0">
              <a:solidFill>
                <a:schemeClr val="dk1"/>
              </a:solidFill>
              <a:effectLst/>
              <a:latin typeface="+mn-lt"/>
              <a:ea typeface="+mn-ea"/>
              <a:cs typeface="+mn-cs"/>
            </a:rPr>
            <a:t> where i = nominal YTM, r = real YTM. The difference in the estimates of the expected inflation are negigible for low interest rates</a:t>
          </a:r>
          <a:endParaRPr lang="cs-CZ" sz="1100" b="0" u="none">
            <a:solidFill>
              <a:schemeClr val="dk1"/>
            </a:solidFill>
            <a:latin typeface="+mn-lt"/>
            <a:ea typeface="+mn-ea"/>
            <a:cs typeface="+mn-cs"/>
          </a:endParaRPr>
        </a:p>
      </xdr:txBody>
    </xdr:sp>
    <xdr:clientData/>
  </xdr:twoCellAnchor>
  <xdr:twoCellAnchor>
    <xdr:from>
      <xdr:col>1</xdr:col>
      <xdr:colOff>49625</xdr:colOff>
      <xdr:row>0</xdr:row>
      <xdr:rowOff>52294</xdr:rowOff>
    </xdr:from>
    <xdr:to>
      <xdr:col>1</xdr:col>
      <xdr:colOff>1147802</xdr:colOff>
      <xdr:row>2</xdr:row>
      <xdr:rowOff>171824</xdr:rowOff>
    </xdr:to>
    <xdr:sp macro="" textlink="">
      <xdr:nvSpPr>
        <xdr:cNvPr id="11" name="Obdélník 10">
          <a:hlinkClick xmlns:r="http://schemas.openxmlformats.org/officeDocument/2006/relationships" r:id="rId4"/>
          <a:extLst>
            <a:ext uri="{FF2B5EF4-FFF2-40B4-BE49-F238E27FC236}">
              <a16:creationId xmlns:a16="http://schemas.microsoft.com/office/drawing/2014/main" id="{AB33C79D-34D3-45F6-B5D0-2A423016BA32}"/>
            </a:ext>
          </a:extLst>
        </xdr:cNvPr>
        <xdr:cNvSpPr/>
      </xdr:nvSpPr>
      <xdr:spPr>
        <a:xfrm>
          <a:off x="158482" y="52294"/>
          <a:ext cx="1098177" cy="482387"/>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cs-CZ" sz="1100" b="1"/>
            <a:t>BACK</a:t>
          </a:r>
          <a:r>
            <a:rPr lang="cs-CZ" sz="1100" b="1" baseline="0"/>
            <a:t> TO </a:t>
          </a:r>
          <a:r>
            <a:rPr lang="cs-CZ" sz="1100" b="1"/>
            <a:t>MENU</a:t>
          </a:r>
          <a:endParaRPr lang="en-US" sz="1100" b="1"/>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57150</xdr:colOff>
      <xdr:row>3</xdr:row>
      <xdr:rowOff>0</xdr:rowOff>
    </xdr:from>
    <xdr:to>
      <xdr:col>16</xdr:col>
      <xdr:colOff>486709</xdr:colOff>
      <xdr:row>6</xdr:row>
      <xdr:rowOff>64994</xdr:rowOff>
    </xdr:to>
    <xdr:sp macro="" textlink="">
      <xdr:nvSpPr>
        <xdr:cNvPr id="2" name="TextovéPole 15">
          <a:extLst>
            <a:ext uri="{FF2B5EF4-FFF2-40B4-BE49-F238E27FC236}">
              <a16:creationId xmlns:a16="http://schemas.microsoft.com/office/drawing/2014/main" id="{11DC2B8C-7E31-4462-87D2-140B628BD947}"/>
            </a:ext>
          </a:extLst>
        </xdr:cNvPr>
        <xdr:cNvSpPr txBox="1"/>
      </xdr:nvSpPr>
      <xdr:spPr>
        <a:xfrm>
          <a:off x="57150" y="0"/>
          <a:ext cx="12602509" cy="6174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100" b="1" u="sng"/>
            <a:t>PROBLEM</a:t>
          </a:r>
          <a:r>
            <a:rPr lang="cs-CZ" sz="1100" b="1" u="sng" baseline="0"/>
            <a:t> 4</a:t>
          </a:r>
        </a:p>
        <a:p>
          <a:r>
            <a:rPr lang="cs-CZ" sz="1100"/>
            <a:t>Imagine having a euro-denominated liability of </a:t>
          </a:r>
          <a:r>
            <a:rPr lang="cs-CZ" sz="1100" b="0" baseline="0">
              <a:solidFill>
                <a:schemeClr val="dk1"/>
              </a:solidFill>
              <a:effectLst/>
              <a:latin typeface="+mn-lt"/>
              <a:ea typeface="+mn-ea"/>
              <a:cs typeface="+mn-cs"/>
            </a:rPr>
            <a:t>10.000 € (e.g. a purchase of a car in Germany 7 year from now), </a:t>
          </a:r>
          <a:r>
            <a:rPr lang="cs-CZ" sz="1100" b="0" u="sng" baseline="0">
              <a:solidFill>
                <a:schemeClr val="dk1"/>
              </a:solidFill>
              <a:effectLst/>
              <a:latin typeface="+mn-lt"/>
              <a:ea typeface="+mn-ea"/>
              <a:cs typeface="+mn-cs"/>
            </a:rPr>
            <a:t>expressed in today's (2026) prices</a:t>
          </a:r>
          <a:r>
            <a:rPr lang="cs-CZ" sz="1100" b="0" baseline="0">
              <a:solidFill>
                <a:schemeClr val="dk1"/>
              </a:solidFill>
              <a:effectLst/>
              <a:latin typeface="+mn-lt"/>
              <a:ea typeface="+mn-ea"/>
              <a:cs typeface="+mn-cs"/>
            </a:rPr>
            <a:t>, positively correlated with the European area inflation rate (HICP) and payable with certainty in April 2033. What is the optimal instrument to match such an obligation? Below, calculate the amount to be set aside today (again, using the present price level) to cover the future payment</a:t>
          </a:r>
          <a:endParaRPr lang="cs-CZ" sz="1100" baseline="0"/>
        </a:p>
        <a:p>
          <a:endParaRPr lang="cs-CZ" sz="1100" baseline="0"/>
        </a:p>
      </xdr:txBody>
    </xdr:sp>
    <xdr:clientData/>
  </xdr:twoCellAnchor>
  <xdr:twoCellAnchor>
    <xdr:from>
      <xdr:col>0</xdr:col>
      <xdr:colOff>72572</xdr:colOff>
      <xdr:row>6</xdr:row>
      <xdr:rowOff>27214</xdr:rowOff>
    </xdr:from>
    <xdr:to>
      <xdr:col>5</xdr:col>
      <xdr:colOff>378865</xdr:colOff>
      <xdr:row>9</xdr:row>
      <xdr:rowOff>136072</xdr:rowOff>
    </xdr:to>
    <xdr:sp macro="" textlink="">
      <xdr:nvSpPr>
        <xdr:cNvPr id="6" name="TextovéPole 5">
          <a:hlinkClick xmlns:r="http://schemas.openxmlformats.org/officeDocument/2006/relationships" r:id="rId1"/>
          <a:extLst>
            <a:ext uri="{FF2B5EF4-FFF2-40B4-BE49-F238E27FC236}">
              <a16:creationId xmlns:a16="http://schemas.microsoft.com/office/drawing/2014/main" id="{AFAA8D3A-12D6-4A20-A954-8601973D5BA1}"/>
            </a:ext>
          </a:extLst>
        </xdr:cNvPr>
        <xdr:cNvSpPr txBox="1"/>
      </xdr:nvSpPr>
      <xdr:spPr>
        <a:xfrm>
          <a:off x="72572" y="579664"/>
          <a:ext cx="5271993" cy="6613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100" baseline="0">
              <a:solidFill>
                <a:schemeClr val="dk1"/>
              </a:solidFill>
              <a:effectLst/>
              <a:latin typeface="+mn-lt"/>
              <a:ea typeface="+mn-ea"/>
              <a:cs typeface="+mn-cs"/>
            </a:rPr>
            <a:t>Data source:</a:t>
          </a:r>
          <a:endParaRPr lang="en-US">
            <a:effectLst/>
          </a:endParaRPr>
        </a:p>
        <a:p>
          <a:r>
            <a:rPr lang="en-US" sz="1100" b="0" i="0" u="sng">
              <a:solidFill>
                <a:srgbClr val="0000FF"/>
              </a:solidFill>
              <a:effectLst/>
              <a:latin typeface="+mn-lt"/>
              <a:ea typeface="+mn-ea"/>
              <a:cs typeface="+mn-cs"/>
            </a:rPr>
            <a:t>https://www.deutsche-finanzagentur.de/en/federal-securities/factsheet/isin/DE0001030583?cHash=3fb624144258e6c73bb19de726a2edf6</a:t>
          </a:r>
          <a:endParaRPr lang="en-US">
            <a:solidFill>
              <a:srgbClr val="0000FF"/>
            </a:solidFill>
            <a:effectLst/>
          </a:endParaRPr>
        </a:p>
      </xdr:txBody>
    </xdr:sp>
    <xdr:clientData/>
  </xdr:twoCellAnchor>
  <xdr:twoCellAnchor>
    <xdr:from>
      <xdr:col>1</xdr:col>
      <xdr:colOff>36286</xdr:colOff>
      <xdr:row>0</xdr:row>
      <xdr:rowOff>63501</xdr:rowOff>
    </xdr:from>
    <xdr:to>
      <xdr:col>1</xdr:col>
      <xdr:colOff>1134463</xdr:colOff>
      <xdr:row>3</xdr:row>
      <xdr:rowOff>12274</xdr:rowOff>
    </xdr:to>
    <xdr:sp macro="" textlink="">
      <xdr:nvSpPr>
        <xdr:cNvPr id="7" name="Obdélník 6">
          <a:hlinkClick xmlns:r="http://schemas.openxmlformats.org/officeDocument/2006/relationships" r:id="rId2"/>
          <a:extLst>
            <a:ext uri="{FF2B5EF4-FFF2-40B4-BE49-F238E27FC236}">
              <a16:creationId xmlns:a16="http://schemas.microsoft.com/office/drawing/2014/main" id="{96BB7D5F-DE59-4BBE-807E-F38FF0C3DAB0}"/>
            </a:ext>
          </a:extLst>
        </xdr:cNvPr>
        <xdr:cNvSpPr/>
      </xdr:nvSpPr>
      <xdr:spPr>
        <a:xfrm>
          <a:off x="163286" y="63501"/>
          <a:ext cx="1098177" cy="493059"/>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cs-CZ" sz="1100" b="1"/>
            <a:t>BACK</a:t>
          </a:r>
          <a:r>
            <a:rPr lang="cs-CZ" sz="1100" b="1" baseline="0"/>
            <a:t> TO </a:t>
          </a:r>
          <a:r>
            <a:rPr lang="cs-CZ" sz="1100" b="1"/>
            <a:t>MENU</a:t>
          </a:r>
          <a:endParaRPr lang="en-US" sz="1100" b="1"/>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57150</xdr:colOff>
      <xdr:row>3</xdr:row>
      <xdr:rowOff>0</xdr:rowOff>
    </xdr:from>
    <xdr:to>
      <xdr:col>16</xdr:col>
      <xdr:colOff>486709</xdr:colOff>
      <xdr:row>6</xdr:row>
      <xdr:rowOff>64994</xdr:rowOff>
    </xdr:to>
    <xdr:sp macro="" textlink="">
      <xdr:nvSpPr>
        <xdr:cNvPr id="2" name="TextovéPole 15">
          <a:extLst>
            <a:ext uri="{FF2B5EF4-FFF2-40B4-BE49-F238E27FC236}">
              <a16:creationId xmlns:a16="http://schemas.microsoft.com/office/drawing/2014/main" id="{EA63EBE3-1ADE-4567-B95D-9A57A8660EF4}"/>
            </a:ext>
          </a:extLst>
        </xdr:cNvPr>
        <xdr:cNvSpPr txBox="1"/>
      </xdr:nvSpPr>
      <xdr:spPr>
        <a:xfrm>
          <a:off x="57150" y="0"/>
          <a:ext cx="9700559" cy="6174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100" b="1" u="sng"/>
            <a:t>PROBLEM</a:t>
          </a:r>
          <a:r>
            <a:rPr lang="cs-CZ" sz="1100" b="1" u="sng" baseline="0"/>
            <a:t> 4</a:t>
          </a:r>
        </a:p>
        <a:p>
          <a:r>
            <a:rPr lang="cs-CZ" sz="1100"/>
            <a:t>Imagine having a euro-denominated liability of </a:t>
          </a:r>
          <a:r>
            <a:rPr lang="cs-CZ" sz="1100" b="0" baseline="0">
              <a:solidFill>
                <a:schemeClr val="dk1"/>
              </a:solidFill>
              <a:effectLst/>
              <a:latin typeface="+mn-lt"/>
              <a:ea typeface="+mn-ea"/>
              <a:cs typeface="+mn-cs"/>
            </a:rPr>
            <a:t>10.000 € (e.g. a purchase of a car in Germany 7 year from now), </a:t>
          </a:r>
          <a:r>
            <a:rPr lang="cs-CZ" sz="1100" b="0" u="sng" baseline="0">
              <a:solidFill>
                <a:schemeClr val="dk1"/>
              </a:solidFill>
              <a:effectLst/>
              <a:latin typeface="+mn-lt"/>
              <a:ea typeface="+mn-ea"/>
              <a:cs typeface="+mn-cs"/>
            </a:rPr>
            <a:t>expressed in today's (2026) prices</a:t>
          </a:r>
          <a:r>
            <a:rPr lang="cs-CZ" sz="1100" b="0" baseline="0">
              <a:solidFill>
                <a:schemeClr val="dk1"/>
              </a:solidFill>
              <a:effectLst/>
              <a:latin typeface="+mn-lt"/>
              <a:ea typeface="+mn-ea"/>
              <a:cs typeface="+mn-cs"/>
            </a:rPr>
            <a:t>, positively correlated with the European area inflation rate (HICP) and payable with certainty in April 2033. What is the optimal instrument to match such an obligation? Below, we calculate the amount to be set aside today (again, using the present price level) to cover the future payment</a:t>
          </a:r>
          <a:endParaRPr lang="cs-CZ" sz="1100" baseline="0"/>
        </a:p>
        <a:p>
          <a:endParaRPr lang="cs-CZ" sz="1100" baseline="0"/>
        </a:p>
      </xdr:txBody>
    </xdr:sp>
    <xdr:clientData/>
  </xdr:twoCellAnchor>
  <xdr:twoCellAnchor>
    <xdr:from>
      <xdr:col>5</xdr:col>
      <xdr:colOff>558423</xdr:colOff>
      <xdr:row>38</xdr:row>
      <xdr:rowOff>99785</xdr:rowOff>
    </xdr:from>
    <xdr:to>
      <xdr:col>11</xdr:col>
      <xdr:colOff>498928</xdr:colOff>
      <xdr:row>40</xdr:row>
      <xdr:rowOff>170223</xdr:rowOff>
    </xdr:to>
    <xdr:sp macro="" textlink="">
      <xdr:nvSpPr>
        <xdr:cNvPr id="3" name="TextBox 19">
          <a:extLst>
            <a:ext uri="{FF2B5EF4-FFF2-40B4-BE49-F238E27FC236}">
              <a16:creationId xmlns:a16="http://schemas.microsoft.com/office/drawing/2014/main" id="{1BCB7383-400B-4645-9B03-7519E4278F4C}"/>
            </a:ext>
          </a:extLst>
        </xdr:cNvPr>
        <xdr:cNvSpPr txBox="1"/>
      </xdr:nvSpPr>
      <xdr:spPr>
        <a:xfrm>
          <a:off x="5511423" y="6123214"/>
          <a:ext cx="4086148" cy="43329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cs-CZ" sz="1100" b="1" u="sng">
              <a:solidFill>
                <a:schemeClr val="dk1"/>
              </a:solidFill>
              <a:latin typeface="+mn-lt"/>
              <a:ea typeface="+mn-ea"/>
              <a:cs typeface="+mn-cs"/>
            </a:rPr>
            <a:t>Dirty Price</a:t>
          </a:r>
          <a:r>
            <a:rPr lang="cs-CZ" sz="1100" b="0" u="none">
              <a:solidFill>
                <a:schemeClr val="dk1"/>
              </a:solidFill>
              <a:latin typeface="+mn-lt"/>
              <a:ea typeface="+mn-ea"/>
              <a:cs typeface="+mn-cs"/>
            </a:rPr>
            <a:t>: the actual amount to</a:t>
          </a:r>
          <a:r>
            <a:rPr lang="cs-CZ" sz="1100" b="0" u="none" baseline="0">
              <a:solidFill>
                <a:schemeClr val="dk1"/>
              </a:solidFill>
              <a:latin typeface="+mn-lt"/>
              <a:ea typeface="+mn-ea"/>
              <a:cs typeface="+mn-cs"/>
            </a:rPr>
            <a:t> be allocated towards the inflation-linked bond today (consistent with the inflation coeffcient of </a:t>
          </a:r>
          <a:r>
            <a:rPr lang="en-US" sz="1100" b="0" i="0" u="none" strike="noStrike">
              <a:solidFill>
                <a:schemeClr val="dk1"/>
              </a:solidFill>
              <a:effectLst/>
              <a:latin typeface="+mn-lt"/>
              <a:ea typeface="+mn-ea"/>
              <a:cs typeface="+mn-cs"/>
            </a:rPr>
            <a:t>1.22681</a:t>
          </a:r>
          <a:r>
            <a:rPr lang="cs-CZ" sz="1100" b="0" i="0" u="none" strike="noStrike">
              <a:solidFill>
                <a:schemeClr val="dk1"/>
              </a:solidFill>
              <a:effectLst/>
              <a:latin typeface="+mn-lt"/>
              <a:ea typeface="+mn-ea"/>
              <a:cs typeface="+mn-cs"/>
            </a:rPr>
            <a:t>)</a:t>
          </a:r>
          <a:endParaRPr lang="cs-CZ" sz="1100" b="0" u="none">
            <a:solidFill>
              <a:schemeClr val="dk1"/>
            </a:solidFill>
            <a:latin typeface="+mn-lt"/>
            <a:ea typeface="+mn-ea"/>
            <a:cs typeface="+mn-cs"/>
          </a:endParaRPr>
        </a:p>
      </xdr:txBody>
    </xdr:sp>
    <xdr:clientData/>
  </xdr:twoCellAnchor>
  <xdr:twoCellAnchor>
    <xdr:from>
      <xdr:col>3</xdr:col>
      <xdr:colOff>272143</xdr:colOff>
      <xdr:row>39</xdr:row>
      <xdr:rowOff>132016</xdr:rowOff>
    </xdr:from>
    <xdr:to>
      <xdr:col>5</xdr:col>
      <xdr:colOff>395195</xdr:colOff>
      <xdr:row>39</xdr:row>
      <xdr:rowOff>132016</xdr:rowOff>
    </xdr:to>
    <xdr:cxnSp macro="">
      <xdr:nvCxnSpPr>
        <xdr:cNvPr id="4" name="Straight Connector 20">
          <a:extLst>
            <a:ext uri="{FF2B5EF4-FFF2-40B4-BE49-F238E27FC236}">
              <a16:creationId xmlns:a16="http://schemas.microsoft.com/office/drawing/2014/main" id="{E92B7392-7699-432D-B8EF-4D98B9BE5C2A}"/>
            </a:ext>
          </a:extLst>
        </xdr:cNvPr>
        <xdr:cNvCxnSpPr/>
      </xdr:nvCxnSpPr>
      <xdr:spPr>
        <a:xfrm>
          <a:off x="3728357" y="6336873"/>
          <a:ext cx="1538195" cy="0"/>
        </a:xfrm>
        <a:prstGeom prst="line">
          <a:avLst/>
        </a:prstGeom>
        <a:ln>
          <a:solidFill>
            <a:srgbClr val="00206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462643</xdr:colOff>
      <xdr:row>17</xdr:row>
      <xdr:rowOff>72572</xdr:rowOff>
    </xdr:from>
    <xdr:to>
      <xdr:col>16</xdr:col>
      <xdr:colOff>326572</xdr:colOff>
      <xdr:row>25</xdr:row>
      <xdr:rowOff>27215</xdr:rowOff>
    </xdr:to>
    <xdr:sp macro="" textlink="">
      <xdr:nvSpPr>
        <xdr:cNvPr id="5" name="TextBox 5">
          <a:extLst>
            <a:ext uri="{FF2B5EF4-FFF2-40B4-BE49-F238E27FC236}">
              <a16:creationId xmlns:a16="http://schemas.microsoft.com/office/drawing/2014/main" id="{2764DBC1-9C63-4F13-9F3E-DD148481A392}"/>
            </a:ext>
          </a:extLst>
        </xdr:cNvPr>
        <xdr:cNvSpPr txBox="1"/>
      </xdr:nvSpPr>
      <xdr:spPr>
        <a:xfrm>
          <a:off x="4000500" y="2276929"/>
          <a:ext cx="8463643" cy="1406072"/>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cs-CZ" sz="1100" b="1" u="sng">
              <a:solidFill>
                <a:schemeClr val="dk1"/>
              </a:solidFill>
              <a:latin typeface="+mn-lt"/>
              <a:ea typeface="+mn-ea"/>
              <a:cs typeface="+mn-cs"/>
            </a:rPr>
            <a:t>Hedging</a:t>
          </a:r>
          <a:r>
            <a:rPr lang="cs-CZ" sz="1100" b="0" u="none">
              <a:solidFill>
                <a:schemeClr val="dk1"/>
              </a:solidFill>
              <a:latin typeface="+mn-lt"/>
              <a:ea typeface="+mn-ea"/>
              <a:cs typeface="+mn-cs"/>
            </a:rPr>
            <a:t>:</a:t>
          </a:r>
          <a:r>
            <a:rPr lang="cs-CZ" sz="1100" b="0" u="none" baseline="0">
              <a:solidFill>
                <a:schemeClr val="dk1"/>
              </a:solidFill>
              <a:latin typeface="+mn-lt"/>
              <a:ea typeface="+mn-ea"/>
              <a:cs typeface="+mn-cs"/>
            </a:rPr>
            <a:t> t</a:t>
          </a:r>
          <a:r>
            <a:rPr lang="cs-CZ" sz="1100" b="0" u="none">
              <a:solidFill>
                <a:schemeClr val="dk1"/>
              </a:solidFill>
              <a:latin typeface="+mn-lt"/>
              <a:ea typeface="+mn-ea"/>
              <a:cs typeface="+mn-cs"/>
            </a:rPr>
            <a:t>he</a:t>
          </a:r>
          <a:r>
            <a:rPr lang="cs-CZ" sz="1100" b="0" u="none" baseline="0">
              <a:solidFill>
                <a:schemeClr val="dk1"/>
              </a:solidFill>
              <a:latin typeface="+mn-lt"/>
              <a:ea typeface="+mn-ea"/>
              <a:cs typeface="+mn-cs"/>
            </a:rPr>
            <a:t> inflation-indexed bond is a suitable instrument for hedging a real (inflation-indexed) obligation that must be met with certitude because</a:t>
          </a:r>
        </a:p>
        <a:p>
          <a:pPr marL="228600" indent="-228600">
            <a:buFont typeface="+mj-lt"/>
            <a:buAutoNum type="arabicParenR"/>
          </a:pPr>
          <a:r>
            <a:rPr lang="cs-CZ" sz="1100" b="0" u="none">
              <a:solidFill>
                <a:schemeClr val="dk1"/>
              </a:solidFill>
              <a:latin typeface="+mn-lt"/>
              <a:ea typeface="+mn-ea"/>
              <a:cs typeface="+mn-cs"/>
            </a:rPr>
            <a:t>it is virtually free of any default risk (= the</a:t>
          </a:r>
          <a:r>
            <a:rPr lang="cs-CZ" sz="1100" b="0" u="none" baseline="0">
              <a:solidFill>
                <a:schemeClr val="dk1"/>
              </a:solidFill>
              <a:latin typeface="+mn-lt"/>
              <a:ea typeface="+mn-ea"/>
              <a:cs typeface="+mn-cs"/>
            </a:rPr>
            <a:t> borrower going bust) - the German government treasury securities maintain  the perfect AAA rating (essentially zero probability of bankruptcy for practical purposes)</a:t>
          </a:r>
        </a:p>
        <a:p>
          <a:pPr marL="228600" indent="-228600">
            <a:buFont typeface="+mj-lt"/>
            <a:buAutoNum type="arabicParenR"/>
          </a:pPr>
          <a:r>
            <a:rPr lang="cs-CZ" sz="1100" b="0" u="none" baseline="0">
              <a:solidFill>
                <a:schemeClr val="dk1"/>
              </a:solidFill>
              <a:latin typeface="+mn-lt"/>
              <a:ea typeface="+mn-ea"/>
              <a:cs typeface="+mn-cs"/>
            </a:rPr>
            <a:t>the time horizon of the liability and the bond are matched (April 2033 for both)</a:t>
          </a:r>
        </a:p>
        <a:p>
          <a:pPr marL="228600" indent="-228600">
            <a:buFont typeface="+mj-lt"/>
            <a:buAutoNum type="arabicParenR"/>
          </a:pPr>
          <a:r>
            <a:rPr lang="cs-CZ" sz="1100" b="0" u="none" baseline="0">
              <a:solidFill>
                <a:schemeClr val="dk1"/>
              </a:solidFill>
              <a:latin typeface="+mn-lt"/>
              <a:ea typeface="+mn-ea"/>
              <a:cs typeface="+mn-cs"/>
            </a:rPr>
            <a:t>it imposes almost no reinvestment risk - the final repayment (</a:t>
          </a:r>
          <a:r>
            <a:rPr lang="en-US" sz="1100" b="0" i="0" u="none" strike="noStrike">
              <a:solidFill>
                <a:schemeClr val="dk1"/>
              </a:solidFill>
              <a:effectLst/>
              <a:latin typeface="+mn-lt"/>
              <a:ea typeface="+mn-ea"/>
              <a:cs typeface="+mn-cs"/>
            </a:rPr>
            <a:t>€ 10,000.00</a:t>
          </a:r>
          <a:r>
            <a:rPr lang="cs-CZ" sz="1100" b="0" i="0" u="none" strike="noStrike">
              <a:solidFill>
                <a:schemeClr val="dk1"/>
              </a:solidFill>
              <a:effectLst/>
              <a:latin typeface="+mn-lt"/>
              <a:ea typeface="+mn-ea"/>
              <a:cs typeface="+mn-cs"/>
            </a:rPr>
            <a:t>)</a:t>
          </a:r>
          <a:r>
            <a:rPr lang="cs-CZ" sz="1100" b="0" u="none" baseline="0">
              <a:solidFill>
                <a:schemeClr val="dk1"/>
              </a:solidFill>
              <a:latin typeface="+mn-lt"/>
              <a:ea typeface="+mn-ea"/>
              <a:cs typeface="+mn-cs"/>
            </a:rPr>
            <a:t> in the cash flow schedule below assumes the reinvestment of each intermediary coupons at the prevailing real YTM (</a:t>
          </a:r>
          <a:r>
            <a:rPr lang="en-US" sz="1100" b="0" i="0" u="none" strike="noStrike">
              <a:solidFill>
                <a:schemeClr val="dk1"/>
              </a:solidFill>
              <a:effectLst/>
              <a:latin typeface="+mn-lt"/>
              <a:ea typeface="+mn-ea"/>
              <a:cs typeface="+mn-cs"/>
            </a:rPr>
            <a:t>0.6338%</a:t>
          </a:r>
          <a:r>
            <a:rPr lang="cs-CZ" sz="1100" b="0" i="0" u="none" strike="noStrike">
              <a:solidFill>
                <a:schemeClr val="dk1"/>
              </a:solidFill>
              <a:effectLst/>
              <a:latin typeface="+mn-lt"/>
              <a:ea typeface="+mn-ea"/>
              <a:cs typeface="+mn-cs"/>
            </a:rPr>
            <a:t>), which could change in the future periods. However,</a:t>
          </a:r>
          <a:r>
            <a:rPr lang="cs-CZ" sz="1100" b="0" i="0" u="none" strike="noStrike" baseline="0">
              <a:solidFill>
                <a:schemeClr val="dk1"/>
              </a:solidFill>
              <a:effectLst/>
              <a:latin typeface="+mn-lt"/>
              <a:ea typeface="+mn-ea"/>
              <a:cs typeface="+mn-cs"/>
            </a:rPr>
            <a:t> due to the real coupon rate being close to zero, the risk is very much contained. Thus, the ideal instrument for such a hedge is a </a:t>
          </a:r>
          <a:r>
            <a:rPr lang="cs-CZ" sz="1100" b="0" i="0" u="sng" strike="noStrike" baseline="0">
              <a:solidFill>
                <a:schemeClr val="dk1"/>
              </a:solidFill>
              <a:effectLst/>
              <a:latin typeface="+mn-lt"/>
              <a:ea typeface="+mn-ea"/>
              <a:cs typeface="+mn-cs"/>
            </a:rPr>
            <a:t>zero-coupon/discount bond</a:t>
          </a:r>
          <a:r>
            <a:rPr lang="cs-CZ" sz="1100" b="0" i="0" u="none" strike="noStrike" baseline="0">
              <a:solidFill>
                <a:schemeClr val="dk1"/>
              </a:solidFill>
              <a:effectLst/>
              <a:latin typeface="+mn-lt"/>
              <a:ea typeface="+mn-ea"/>
              <a:cs typeface="+mn-cs"/>
            </a:rPr>
            <a:t>.</a:t>
          </a:r>
          <a:endParaRPr lang="en-US" sz="1100" b="0" u="none">
            <a:solidFill>
              <a:schemeClr val="dk1"/>
            </a:solidFill>
            <a:latin typeface="+mn-lt"/>
            <a:ea typeface="+mn-ea"/>
            <a:cs typeface="+mn-cs"/>
          </a:endParaRPr>
        </a:p>
      </xdr:txBody>
    </xdr:sp>
    <xdr:clientData/>
  </xdr:twoCellAnchor>
  <xdr:twoCellAnchor>
    <xdr:from>
      <xdr:col>0</xdr:col>
      <xdr:colOff>72572</xdr:colOff>
      <xdr:row>6</xdr:row>
      <xdr:rowOff>27214</xdr:rowOff>
    </xdr:from>
    <xdr:to>
      <xdr:col>5</xdr:col>
      <xdr:colOff>378865</xdr:colOff>
      <xdr:row>9</xdr:row>
      <xdr:rowOff>136072</xdr:rowOff>
    </xdr:to>
    <xdr:sp macro="" textlink="">
      <xdr:nvSpPr>
        <xdr:cNvPr id="6" name="TextovéPole 5">
          <a:hlinkClick xmlns:r="http://schemas.openxmlformats.org/officeDocument/2006/relationships" r:id="rId1"/>
          <a:extLst>
            <a:ext uri="{FF2B5EF4-FFF2-40B4-BE49-F238E27FC236}">
              <a16:creationId xmlns:a16="http://schemas.microsoft.com/office/drawing/2014/main" id="{747B48A4-6F31-4E32-B237-37DAF57579C9}"/>
            </a:ext>
          </a:extLst>
        </xdr:cNvPr>
        <xdr:cNvSpPr txBox="1"/>
      </xdr:nvSpPr>
      <xdr:spPr>
        <a:xfrm>
          <a:off x="72572" y="571500"/>
          <a:ext cx="5259293" cy="653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100" baseline="0">
              <a:solidFill>
                <a:schemeClr val="dk1"/>
              </a:solidFill>
              <a:effectLst/>
              <a:latin typeface="+mn-lt"/>
              <a:ea typeface="+mn-ea"/>
              <a:cs typeface="+mn-cs"/>
            </a:rPr>
            <a:t>Data source:</a:t>
          </a:r>
          <a:endParaRPr lang="en-US">
            <a:effectLst/>
          </a:endParaRPr>
        </a:p>
        <a:p>
          <a:r>
            <a:rPr lang="en-US" sz="1100" b="0" i="0" u="sng">
              <a:solidFill>
                <a:srgbClr val="0000FF"/>
              </a:solidFill>
              <a:effectLst/>
              <a:latin typeface="+mn-lt"/>
              <a:ea typeface="+mn-ea"/>
              <a:cs typeface="+mn-cs"/>
            </a:rPr>
            <a:t>https://www.deutsche-finanzagentur.de/en/federal-securities/factsheet/isin/DE0001030583?cHash=3fb624144258e6c73bb19de726a2edf6</a:t>
          </a:r>
          <a:endParaRPr lang="en-US">
            <a:solidFill>
              <a:srgbClr val="0000FF"/>
            </a:solidFill>
            <a:effectLst/>
          </a:endParaRPr>
        </a:p>
      </xdr:txBody>
    </xdr:sp>
    <xdr:clientData/>
  </xdr:twoCellAnchor>
  <xdr:twoCellAnchor>
    <xdr:from>
      <xdr:col>1</xdr:col>
      <xdr:colOff>27214</xdr:colOff>
      <xdr:row>0</xdr:row>
      <xdr:rowOff>54429</xdr:rowOff>
    </xdr:from>
    <xdr:to>
      <xdr:col>1</xdr:col>
      <xdr:colOff>1125391</xdr:colOff>
      <xdr:row>3</xdr:row>
      <xdr:rowOff>3202</xdr:rowOff>
    </xdr:to>
    <xdr:sp macro="" textlink="">
      <xdr:nvSpPr>
        <xdr:cNvPr id="7" name="Obdélník 6">
          <a:hlinkClick xmlns:r="http://schemas.openxmlformats.org/officeDocument/2006/relationships" r:id="rId2"/>
          <a:extLst>
            <a:ext uri="{FF2B5EF4-FFF2-40B4-BE49-F238E27FC236}">
              <a16:creationId xmlns:a16="http://schemas.microsoft.com/office/drawing/2014/main" id="{11B501EF-BC56-4342-A292-CA39F3564FAD}"/>
            </a:ext>
          </a:extLst>
        </xdr:cNvPr>
        <xdr:cNvSpPr/>
      </xdr:nvSpPr>
      <xdr:spPr>
        <a:xfrm>
          <a:off x="154214" y="54429"/>
          <a:ext cx="1098177" cy="493059"/>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cs-CZ" sz="1100" b="1"/>
            <a:t>BACK</a:t>
          </a:r>
          <a:r>
            <a:rPr lang="cs-CZ" sz="1100" b="1" baseline="0"/>
            <a:t> TO </a:t>
          </a:r>
          <a:r>
            <a:rPr lang="cs-CZ" sz="1100" b="1"/>
            <a:t>MENU</a:t>
          </a:r>
          <a:endParaRPr lang="en-US" sz="1100" b="1"/>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0</xdr:row>
      <xdr:rowOff>57150</xdr:rowOff>
    </xdr:from>
    <xdr:to>
      <xdr:col>2</xdr:col>
      <xdr:colOff>488577</xdr:colOff>
      <xdr:row>2</xdr:row>
      <xdr:rowOff>181909</xdr:rowOff>
    </xdr:to>
    <xdr:sp macro="" textlink="">
      <xdr:nvSpPr>
        <xdr:cNvPr id="2" name="Obdélník 1">
          <a:hlinkClick xmlns:r="http://schemas.openxmlformats.org/officeDocument/2006/relationships" r:id="rId1"/>
          <a:extLst>
            <a:ext uri="{FF2B5EF4-FFF2-40B4-BE49-F238E27FC236}">
              <a16:creationId xmlns:a16="http://schemas.microsoft.com/office/drawing/2014/main" id="{C93590F0-01FD-4F34-B7DA-BE75D961C62C}"/>
            </a:ext>
          </a:extLst>
        </xdr:cNvPr>
        <xdr:cNvSpPr/>
      </xdr:nvSpPr>
      <xdr:spPr>
        <a:xfrm>
          <a:off x="177800" y="57150"/>
          <a:ext cx="1098177" cy="493059"/>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cs-CZ" sz="1100" b="1"/>
            <a:t>BACK</a:t>
          </a:r>
          <a:r>
            <a:rPr lang="cs-CZ" sz="1100" b="1" baseline="0"/>
            <a:t> TO </a:t>
          </a:r>
          <a:r>
            <a:rPr lang="cs-CZ" sz="1100" b="1"/>
            <a:t>MENU</a:t>
          </a:r>
          <a:endParaRPr lang="en-US" sz="1100" b="1"/>
        </a:p>
      </xdr:txBody>
    </xdr:sp>
    <xdr:clientData/>
  </xdr:twoCellAnchor>
  <xdr:twoCellAnchor>
    <xdr:from>
      <xdr:col>1</xdr:col>
      <xdr:colOff>0</xdr:colOff>
      <xdr:row>5</xdr:row>
      <xdr:rowOff>0</xdr:rowOff>
    </xdr:from>
    <xdr:to>
      <xdr:col>14</xdr:col>
      <xdr:colOff>538843</xdr:colOff>
      <xdr:row>15</xdr:row>
      <xdr:rowOff>127000</xdr:rowOff>
    </xdr:to>
    <xdr:sp macro="" textlink="">
      <xdr:nvSpPr>
        <xdr:cNvPr id="4" name="TextBox 5">
          <a:extLst>
            <a:ext uri="{FF2B5EF4-FFF2-40B4-BE49-F238E27FC236}">
              <a16:creationId xmlns:a16="http://schemas.microsoft.com/office/drawing/2014/main" id="{AEB3A43C-D7EE-47D1-B5D2-0E452B56BDAE}"/>
            </a:ext>
          </a:extLst>
        </xdr:cNvPr>
        <xdr:cNvSpPr txBox="1"/>
      </xdr:nvSpPr>
      <xdr:spPr>
        <a:xfrm>
          <a:off x="177800" y="920750"/>
          <a:ext cx="8463643" cy="19685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cs-CZ" sz="1100" b="1" u="sng">
              <a:solidFill>
                <a:schemeClr val="dk1"/>
              </a:solidFill>
              <a:latin typeface="+mn-lt"/>
              <a:ea typeface="+mn-ea"/>
              <a:cs typeface="+mn-cs"/>
            </a:rPr>
            <a:t>Osvobození</a:t>
          </a:r>
          <a:r>
            <a:rPr lang="cs-CZ" sz="1100" b="1" u="sng" baseline="0">
              <a:solidFill>
                <a:schemeClr val="dk1"/>
              </a:solidFill>
              <a:latin typeface="+mn-lt"/>
              <a:ea typeface="+mn-ea"/>
              <a:cs typeface="+mn-cs"/>
            </a:rPr>
            <a:t> od zdanění</a:t>
          </a:r>
        </a:p>
        <a:p>
          <a:r>
            <a:rPr lang="cs-CZ" sz="1100" b="0" u="none" baseline="0">
              <a:solidFill>
                <a:schemeClr val="dk1"/>
              </a:solidFill>
              <a:latin typeface="+mn-lt"/>
              <a:ea typeface="+mn-ea"/>
              <a:cs typeface="+mn-cs"/>
            </a:rPr>
            <a:t>V rámci novely zákona č. 586/1992 o daních z příjmů, nabývajícího účinnosti dne 1.1.2021, jsou dle § 4, odst. 1 písm. x) </a:t>
          </a:r>
          <a:r>
            <a:rPr lang="en-US" sz="1100" b="0" i="0">
              <a:solidFill>
                <a:schemeClr val="dk1"/>
              </a:solidFill>
              <a:effectLst/>
              <a:latin typeface="+mn-lt"/>
              <a:ea typeface="+mn-ea"/>
              <a:cs typeface="+mn-cs"/>
            </a:rPr>
            <a:t>výnos</a:t>
          </a:r>
          <a:r>
            <a:rPr lang="cs-CZ" sz="1100" b="0" i="0">
              <a:solidFill>
                <a:schemeClr val="dk1"/>
              </a:solidFill>
              <a:effectLst/>
              <a:latin typeface="+mn-lt"/>
              <a:ea typeface="+mn-ea"/>
              <a:cs typeface="+mn-cs"/>
            </a:rPr>
            <a:t>y</a:t>
          </a:r>
          <a:r>
            <a:rPr lang="en-US" sz="1100" b="0" i="0">
              <a:solidFill>
                <a:schemeClr val="dk1"/>
              </a:solidFill>
              <a:effectLst/>
              <a:latin typeface="+mn-lt"/>
              <a:ea typeface="+mn-ea"/>
              <a:cs typeface="+mn-cs"/>
            </a:rPr>
            <a:t> dluhopisu podle zákona upravujícího dluhopisy a příjem plynoucí z práva na splacení </a:t>
          </a:r>
          <a:r>
            <a:rPr lang="cs-CZ" sz="1100" b="0" u="none" baseline="0">
              <a:solidFill>
                <a:schemeClr val="dk1"/>
              </a:solidFill>
              <a:latin typeface="+mn-lt"/>
              <a:ea typeface="+mn-ea"/>
              <a:cs typeface="+mn-cs"/>
            </a:rPr>
            <a:t>dlouhopisů (při držbě do splatnosti) vydaných členským státem EU nebo EHP po tomto datu osvobozené od daně z příjmů, což odpovídá informacím poskytnutým Ministerstvem financí České republiky (2021) a interpretaci v Kotáb (2022), který zmiňuje, že "o</a:t>
          </a:r>
          <a:r>
            <a:rPr lang="en-US" sz="1100" b="0" u="none" baseline="0">
              <a:solidFill>
                <a:schemeClr val="dk1"/>
              </a:solidFill>
              <a:latin typeface="+mn-lt"/>
              <a:ea typeface="+mn-ea"/>
              <a:cs typeface="+mn-cs"/>
            </a:rPr>
            <a:t>svobození se po přijetí uvedené novelizace uplatňuje nejen ve vztahu ke státním</a:t>
          </a:r>
          <a:r>
            <a:rPr lang="cs-CZ" sz="1100" b="0" u="none" baseline="0">
              <a:solidFill>
                <a:schemeClr val="dk1"/>
              </a:solidFill>
              <a:latin typeface="+mn-lt"/>
              <a:ea typeface="+mn-ea"/>
              <a:cs typeface="+mn-cs"/>
            </a:rPr>
            <a:t> </a:t>
          </a:r>
          <a:r>
            <a:rPr lang="en-US" sz="1100" b="0" u="none" baseline="0">
              <a:solidFill>
                <a:schemeClr val="dk1"/>
              </a:solidFill>
              <a:latin typeface="+mn-lt"/>
              <a:ea typeface="+mn-ea"/>
              <a:cs typeface="+mn-cs"/>
            </a:rPr>
            <a:t>dluhopisům vydávaným Českou republikou, ale též ke státním dluhopisům vydávaným</a:t>
          </a:r>
          <a:r>
            <a:rPr lang="cs-CZ" sz="1100" b="0" u="none" baseline="0">
              <a:solidFill>
                <a:schemeClr val="dk1"/>
              </a:solidFill>
              <a:latin typeface="+mn-lt"/>
              <a:ea typeface="+mn-ea"/>
              <a:cs typeface="+mn-cs"/>
            </a:rPr>
            <a:t> </a:t>
          </a:r>
          <a:r>
            <a:rPr lang="en-US" sz="1100" b="0" u="none" baseline="0">
              <a:solidFill>
                <a:schemeClr val="dk1"/>
              </a:solidFill>
              <a:latin typeface="+mn-lt"/>
              <a:ea typeface="+mn-ea"/>
              <a:cs typeface="+mn-cs"/>
            </a:rPr>
            <a:t>jiným členským státem Evropské unie nebo státem tvořícím Evropský hospodářský</a:t>
          </a:r>
          <a:r>
            <a:rPr lang="cs-CZ" sz="1100" b="0" u="none" baseline="0">
              <a:solidFill>
                <a:schemeClr val="dk1"/>
              </a:solidFill>
              <a:latin typeface="+mn-lt"/>
              <a:ea typeface="+mn-ea"/>
              <a:cs typeface="+mn-cs"/>
            </a:rPr>
            <a:t> </a:t>
          </a:r>
          <a:r>
            <a:rPr lang="en-US" sz="1100" b="0" u="none" baseline="0">
              <a:solidFill>
                <a:schemeClr val="dk1"/>
              </a:solidFill>
              <a:latin typeface="+mn-lt"/>
              <a:ea typeface="+mn-ea"/>
              <a:cs typeface="+mn-cs"/>
            </a:rPr>
            <a:t>prostor</a:t>
          </a:r>
          <a:r>
            <a:rPr lang="cs-CZ" sz="1100" b="0" u="none" baseline="0">
              <a:solidFill>
                <a:schemeClr val="dk1"/>
              </a:solidFill>
              <a:latin typeface="+mn-lt"/>
              <a:ea typeface="+mn-ea"/>
              <a:cs typeface="+mn-cs"/>
            </a:rPr>
            <a:t>" (s. 58) a doplňuje, že "</a:t>
          </a:r>
          <a:r>
            <a:rPr lang="cs-CZ" sz="1100" b="0" i="0" u="none" strike="noStrike" baseline="0">
              <a:solidFill>
                <a:schemeClr val="dk1"/>
              </a:solidFill>
              <a:latin typeface="+mn-lt"/>
              <a:ea typeface="+mn-ea"/>
              <a:cs typeface="+mn-cs"/>
            </a:rPr>
            <a:t>d</a:t>
          </a:r>
          <a:r>
            <a:rPr lang="en-US" sz="1100" b="0" i="0" u="none" strike="noStrike" baseline="0">
              <a:solidFill>
                <a:schemeClr val="dk1"/>
              </a:solidFill>
              <a:latin typeface="+mn-lt"/>
              <a:ea typeface="+mn-ea"/>
              <a:cs typeface="+mn-cs"/>
            </a:rPr>
            <a:t>ále bylo osvobození rozšířeno z úrokových výnosů na </a:t>
          </a:r>
          <a:r>
            <a:rPr lang="en-US" sz="1100" b="0" i="0" u="sng" strike="noStrike" baseline="0">
              <a:solidFill>
                <a:schemeClr val="dk1"/>
              </a:solidFill>
              <a:latin typeface="+mn-lt"/>
              <a:ea typeface="+mn-ea"/>
              <a:cs typeface="+mn-cs"/>
            </a:rPr>
            <a:t>všechny výnosy ze státních</a:t>
          </a:r>
          <a:r>
            <a:rPr lang="cs-CZ" sz="1100" b="0" i="0" u="sng" strike="noStrike" baseline="0">
              <a:solidFill>
                <a:schemeClr val="dk1"/>
              </a:solidFill>
              <a:latin typeface="+mn-lt"/>
              <a:ea typeface="+mn-ea"/>
              <a:cs typeface="+mn-cs"/>
            </a:rPr>
            <a:t> </a:t>
          </a:r>
          <a:r>
            <a:rPr lang="en-US" sz="1100" b="0" i="0" u="sng" strike="noStrike" baseline="0">
              <a:solidFill>
                <a:schemeClr val="dk1"/>
              </a:solidFill>
              <a:latin typeface="+mn-lt"/>
              <a:ea typeface="+mn-ea"/>
              <a:cs typeface="+mn-cs"/>
            </a:rPr>
            <a:t>dluhopisů</a:t>
          </a:r>
          <a:r>
            <a:rPr lang="en-US" sz="1100" b="0" i="0" u="none" strike="noStrike" baseline="0">
              <a:solidFill>
                <a:schemeClr val="dk1"/>
              </a:solidFill>
              <a:latin typeface="+mn-lt"/>
              <a:ea typeface="+mn-ea"/>
              <a:cs typeface="+mn-cs"/>
            </a:rPr>
            <a:t> a zahrnuje tedy nově např. též výnos určený slosovatelnou nebo jinou prémií</a:t>
          </a:r>
          <a:r>
            <a:rPr lang="cs-CZ" sz="1100" b="0" i="0" u="none" strike="noStrike" baseline="0">
              <a:solidFill>
                <a:schemeClr val="dk1"/>
              </a:solidFill>
              <a:latin typeface="+mn-lt"/>
              <a:ea typeface="+mn-ea"/>
              <a:cs typeface="+mn-cs"/>
            </a:rPr>
            <a:t> </a:t>
          </a:r>
          <a:r>
            <a:rPr lang="en-US" sz="1100" b="0" i="0" u="none" strike="noStrike" baseline="0">
              <a:solidFill>
                <a:schemeClr val="dk1"/>
              </a:solidFill>
              <a:latin typeface="+mn-lt"/>
              <a:ea typeface="+mn-ea"/>
              <a:cs typeface="+mn-cs"/>
            </a:rPr>
            <a:t>a příjem z rozdílu mezi jmenovitou hodnotou a emisním kurzem, resp. nabývací cenou</a:t>
          </a:r>
          <a:r>
            <a:rPr lang="cs-CZ" sz="1100" b="0" i="0" u="none" strike="noStrike" baseline="0">
              <a:solidFill>
                <a:schemeClr val="dk1"/>
              </a:solidFill>
              <a:latin typeface="+mn-lt"/>
              <a:ea typeface="+mn-ea"/>
              <a:cs typeface="+mn-cs"/>
            </a:rPr>
            <a:t> </a:t>
          </a:r>
          <a:r>
            <a:rPr lang="en-US" sz="1100" b="0" i="0" u="none" strike="noStrike" baseline="0">
              <a:solidFill>
                <a:schemeClr val="dk1"/>
              </a:solidFill>
              <a:latin typeface="+mn-lt"/>
              <a:ea typeface="+mn-ea"/>
              <a:cs typeface="+mn-cs"/>
            </a:rPr>
            <a:t>dluhopisu</a:t>
          </a:r>
          <a:r>
            <a:rPr lang="cs-CZ" sz="1100" b="0" i="0" u="none" strike="noStrike" baseline="0">
              <a:solidFill>
                <a:schemeClr val="dk1"/>
              </a:solidFill>
              <a:latin typeface="+mn-lt"/>
              <a:ea typeface="+mn-ea"/>
              <a:cs typeface="+mn-cs"/>
            </a:rPr>
            <a:t>" (s. 58-59). Výnosy z protiinflačních dluhopisů držené nerezidenty státu emise nejsou zatíženy srážkovou daní, což potvrzuje Agence France Trésor (b.r.) pro francouzské vládní dluhopisy a Euronext Securities (2023, s. 6) pro německé vládní dluhopisy.</a:t>
          </a:r>
          <a:endParaRPr lang="en-US" sz="1100" b="0" u="none" baseline="0">
            <a:solidFill>
              <a:schemeClr val="dk1"/>
            </a:solidFill>
            <a:latin typeface="+mn-lt"/>
            <a:ea typeface="+mn-ea"/>
            <a:cs typeface="+mn-cs"/>
          </a:endParaRPr>
        </a:p>
      </xdr:txBody>
    </xdr:sp>
    <xdr:clientData/>
  </xdr:twoCellAnchor>
  <xdr:twoCellAnchor>
    <xdr:from>
      <xdr:col>1</xdr:col>
      <xdr:colOff>0</xdr:colOff>
      <xdr:row>15</xdr:row>
      <xdr:rowOff>127000</xdr:rowOff>
    </xdr:from>
    <xdr:to>
      <xdr:col>14</xdr:col>
      <xdr:colOff>538843</xdr:colOff>
      <xdr:row>24</xdr:row>
      <xdr:rowOff>19050</xdr:rowOff>
    </xdr:to>
    <xdr:sp macro="" textlink="">
      <xdr:nvSpPr>
        <xdr:cNvPr id="5" name="TextBox 5">
          <a:extLst>
            <a:ext uri="{FF2B5EF4-FFF2-40B4-BE49-F238E27FC236}">
              <a16:creationId xmlns:a16="http://schemas.microsoft.com/office/drawing/2014/main" id="{8BAC0093-EF05-27C8-45C5-5D1621BD64DA}"/>
            </a:ext>
          </a:extLst>
        </xdr:cNvPr>
        <xdr:cNvSpPr txBox="1"/>
      </xdr:nvSpPr>
      <xdr:spPr>
        <a:xfrm>
          <a:off x="177800" y="2889250"/>
          <a:ext cx="8463643" cy="15494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cs-CZ" sz="1100" b="1" u="sng">
              <a:solidFill>
                <a:schemeClr val="dk1"/>
              </a:solidFill>
              <a:latin typeface="+mn-lt"/>
              <a:ea typeface="+mn-ea"/>
              <a:cs typeface="+mn-cs"/>
            </a:rPr>
            <a:t>Reference</a:t>
          </a:r>
          <a:endParaRPr lang="cs-CZ" sz="1100" b="1" u="sng" baseline="0">
            <a:solidFill>
              <a:schemeClr val="dk1"/>
            </a:solidFill>
            <a:latin typeface="+mn-lt"/>
            <a:ea typeface="+mn-ea"/>
            <a:cs typeface="+mn-cs"/>
          </a:endParaRPr>
        </a:p>
        <a:p>
          <a:r>
            <a:rPr lang="en-US"/>
            <a:t>Agence France Trésor</a:t>
          </a:r>
          <a:r>
            <a:rPr lang="cs-CZ"/>
            <a:t>.</a:t>
          </a:r>
          <a:r>
            <a:rPr lang="en-US"/>
            <a:t> (</a:t>
          </a:r>
          <a:r>
            <a:rPr lang="cs-CZ"/>
            <a:t>b</a:t>
          </a:r>
          <a:r>
            <a:rPr lang="en-US"/>
            <a:t>.</a:t>
          </a:r>
          <a:r>
            <a:rPr lang="cs-CZ"/>
            <a:t>r</a:t>
          </a:r>
          <a:r>
            <a:rPr lang="en-US"/>
            <a:t>.). </a:t>
          </a:r>
          <a:r>
            <a:rPr lang="en-US" i="1"/>
            <a:t>Tax treatment of government securities</a:t>
          </a:r>
          <a:r>
            <a:rPr lang="en-US"/>
            <a:t>. https://www.aft.gouv.fr/en/tax-treatment-securities</a:t>
          </a:r>
          <a:endParaRPr lang="cs-CZ"/>
        </a:p>
        <a:p>
          <a:r>
            <a:rPr lang="en-US"/>
            <a:t>Euronext Securities</a:t>
          </a:r>
          <a:r>
            <a:rPr lang="cs-CZ"/>
            <a:t>.</a:t>
          </a:r>
          <a:r>
            <a:rPr lang="en-US"/>
            <a:t> (2023). </a:t>
          </a:r>
          <a:r>
            <a:rPr lang="en-US" i="1"/>
            <a:t>Fiscal guide Germany</a:t>
          </a:r>
          <a:r>
            <a:rPr lang="en-US"/>
            <a:t>.</a:t>
          </a:r>
          <a:r>
            <a:rPr lang="cs-CZ"/>
            <a:t> </a:t>
          </a:r>
          <a:r>
            <a:rPr lang="en-US"/>
            <a:t>https://www.euronext.com/sites/default/files/2023-03/4397%20-%20Germany%20-%20Fiscal%20Operational%20Guide%202022.pdf</a:t>
          </a:r>
          <a:endParaRPr lang="cs-CZ" sz="1100" b="0" u="none" baseline="0">
            <a:solidFill>
              <a:schemeClr val="dk1"/>
            </a:solidFill>
            <a:latin typeface="+mn-lt"/>
            <a:ea typeface="+mn-ea"/>
            <a:cs typeface="+mn-cs"/>
          </a:endParaRPr>
        </a:p>
        <a:p>
          <a:r>
            <a:rPr lang="en-US"/>
            <a:t>Kotáb, P. (2022). </a:t>
          </a:r>
          <a:r>
            <a:rPr lang="en-US" i="1"/>
            <a:t>Vybrané problémy zdanění pasivních příjmů z dluhopisů</a:t>
          </a:r>
          <a:r>
            <a:rPr lang="en-US"/>
            <a:t>. </a:t>
          </a:r>
          <a:r>
            <a:rPr lang="en-US" i="1"/>
            <a:t>AUC Iuridica, 68</a:t>
          </a:r>
          <a:r>
            <a:rPr lang="en-US"/>
            <a:t>(4), 53–66. https://doi.org/10.14712/23366478.2022.46</a:t>
          </a:r>
          <a:endParaRPr lang="cs-CZ"/>
        </a:p>
        <a:p>
          <a:r>
            <a:rPr lang="en-US"/>
            <a:t>Ministerstvo financí České republiky</a:t>
          </a:r>
          <a:r>
            <a:rPr lang="cs-CZ"/>
            <a:t>.</a:t>
          </a:r>
          <a:r>
            <a:rPr lang="en-US"/>
            <a:t> (2021).</a:t>
          </a:r>
          <a:r>
            <a:rPr lang="cs-CZ"/>
            <a:t> </a:t>
          </a:r>
          <a:r>
            <a:rPr lang="cs-CZ" i="1"/>
            <a:t>Emise 3.1.2022. </a:t>
          </a:r>
          <a:r>
            <a:rPr lang="cs-CZ" i="0"/>
            <a:t>Dluhopis Republiky</a:t>
          </a:r>
          <a:r>
            <a:rPr lang="cs-CZ" i="1"/>
            <a:t>.</a:t>
          </a:r>
          <a:r>
            <a:rPr lang="cs-CZ" i="0"/>
            <a:t>https://dluhopisy.gov.cz/cs/o-dluhopisech/urokove-sazby/dluhopis-republiky/emise-3-1-2022-1376</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Zákon č. 586/1992 Sb.</a:t>
          </a:r>
          <a:r>
            <a:rPr lang="cs-CZ" sz="1100" b="0" i="0">
              <a:solidFill>
                <a:schemeClr val="dk1"/>
              </a:solidFill>
              <a:effectLst/>
              <a:latin typeface="+mn-lt"/>
              <a:ea typeface="+mn-ea"/>
              <a:cs typeface="+mn-cs"/>
            </a:rPr>
            <a:t> o daních z příjmu (v</a:t>
          </a:r>
          <a:r>
            <a:rPr lang="cs-CZ" sz="1100" b="0" i="0" baseline="0">
              <a:solidFill>
                <a:schemeClr val="dk1"/>
              </a:solidFill>
              <a:effectLst/>
              <a:latin typeface="+mn-lt"/>
              <a:ea typeface="+mn-ea"/>
              <a:cs typeface="+mn-cs"/>
            </a:rPr>
            <a:t> aktuálním znění), Sbírka zákonů ČR (2026). https://www.zakonyprolidi.cz/cs/1992-586#f7818927</a:t>
          </a:r>
          <a:endParaRPr lang="en-US" sz="1100" b="0" i="0">
            <a:solidFill>
              <a:schemeClr val="dk1"/>
            </a:solidFill>
            <a:effectLst/>
            <a:latin typeface="+mn-lt"/>
            <a:ea typeface="+mn-ea"/>
            <a:cs typeface="+mn-cs"/>
          </a:endParaRPr>
        </a:p>
        <a:p>
          <a:endParaRPr lang="en-US" sz="1100" b="0" i="1" u="none" baseline="0">
            <a:solidFill>
              <a:schemeClr val="dk1"/>
            </a:solidFill>
            <a:latin typeface="+mn-lt"/>
            <a:ea typeface="+mn-ea"/>
            <a:cs typeface="+mn-cs"/>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B389D4-9A96-4116-B6D3-3B0FF623CA06}" name="Table1" displayName="Table1" ref="A1:B63" totalsRowShown="0">
  <autoFilter ref="A1:B63" xr:uid="{B4B389D4-9A96-4116-B6D3-3B0FF623CA06}"/>
  <tableColumns count="2">
    <tableColumn id="1" xr3:uid="{8C871C0F-2AEE-423C-9DDD-1308E57825E2}" name="Date" dataDxfId="11"/>
    <tableColumn id="2" xr3:uid="{CD95629D-AAA6-4568-BA91-E8182B86930B}" name="Coeffici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784892-E07E-48C0-A630-7334FF223620}" name="Tabulka3" displayName="Tabulka3" ref="A1:B63" totalsRowShown="0" tableBorderDxfId="10">
  <autoFilter ref="A1:B63" xr:uid="{0A784892-E07E-48C0-A630-7334FF223620}"/>
  <tableColumns count="2">
    <tableColumn id="1" xr3:uid="{81FE5DC8-B6EE-4B53-9CCA-8E37EF04358C}" name="Date" dataDxfId="9"/>
    <tableColumn id="2" xr3:uid="{4ED3E004-82FA-48A3-A9E3-79975711E398}" name="Coefficient"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84DE13-E6EE-424D-995C-405BC7441833}" name="Tabulka5" displayName="Tabulka5" ref="A1:F40" totalsRowShown="0" headerRowDxfId="7" dataDxfId="6" tableBorderDxfId="5">
  <autoFilter ref="A1:F40" xr:uid="{7984DE13-E6EE-424D-995C-405BC7441833}">
    <filterColumn colId="1">
      <filters>
        <filter val="Spain"/>
      </filters>
    </filterColumn>
  </autoFilter>
  <tableColumns count="6">
    <tableColumn id="1" xr3:uid="{5EC133EB-906D-4CC7-8714-BAB095CACBB2}" name="ISIN"/>
    <tableColumn id="2" xr3:uid="{AA7CFB97-5786-4AC7-9A94-1BA007899E27}" name="Issuer" dataDxfId="4"/>
    <tableColumn id="3" xr3:uid="{94873923-0C31-4F63-8D61-DE9419CEF7F7}" name="Maturity" dataDxfId="3"/>
    <tableColumn id="4" xr3:uid="{FCD46CF9-5121-4EF1-B26F-6E463CB997B1}" name="Rating Moody's" dataDxfId="2"/>
    <tableColumn id="5" xr3:uid="{ECEECCAF-34B2-4C8A-BC6C-059F845C0D89}" name="Rating S&amp;P" dataDxfId="1"/>
    <tableColumn id="6" xr3:uid="{8390B460-A484-4460-866F-727517DC0E43}" name="YTM" dataDxfId="0"/>
  </tableColumns>
  <tableStyleInfo name="TableStyleMedium15" showFirstColumn="0" showLastColumn="0" showRowStripes="1" showColumnStripes="0"/>
</table>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D9971-99A8-4A79-AB7C-0BBC1BF7D69B}">
  <sheetPr codeName="Sheet1">
    <tabColor theme="1"/>
  </sheetPr>
  <dimension ref="A7:F7"/>
  <sheetViews>
    <sheetView showGridLines="0" zoomScale="55" zoomScaleNormal="55" workbookViewId="0">
      <selection activeCell="D28" sqref="D28"/>
    </sheetView>
  </sheetViews>
  <sheetFormatPr defaultRowHeight="14.5" x14ac:dyDescent="0.35"/>
  <cols>
    <col min="1" max="1" width="23.54296875" style="83" customWidth="1"/>
    <col min="2" max="16384" width="8.7265625" style="82"/>
  </cols>
  <sheetData>
    <row r="7" spans="6:6" ht="16.5" x14ac:dyDescent="0.45">
      <c r="F7" s="81"/>
    </row>
  </sheetData>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A1203-C69A-41D4-B90C-C57DDEB3D155}">
  <sheetPr codeName="Sheet2">
    <tabColor theme="1"/>
  </sheetPr>
  <dimension ref="A13:E43"/>
  <sheetViews>
    <sheetView showGridLines="0" topLeftCell="A13" zoomScale="85" zoomScaleNormal="85" workbookViewId="0">
      <selection activeCell="C23" sqref="C23"/>
    </sheetView>
  </sheetViews>
  <sheetFormatPr defaultRowHeight="14.5" x14ac:dyDescent="0.35"/>
  <cols>
    <col min="1" max="1" width="1.36328125" customWidth="1"/>
    <col min="2" max="2" width="31.90625" customWidth="1"/>
    <col min="3" max="3" width="14.81640625" customWidth="1"/>
  </cols>
  <sheetData>
    <row r="13" spans="2:5" ht="15" thickBot="1" x14ac:dyDescent="0.4">
      <c r="B13" s="5" t="s">
        <v>24</v>
      </c>
    </row>
    <row r="14" spans="2:5" x14ac:dyDescent="0.35">
      <c r="B14" s="6" t="s">
        <v>25</v>
      </c>
      <c r="C14" s="9" t="s">
        <v>7</v>
      </c>
      <c r="E14" s="12"/>
    </row>
    <row r="15" spans="2:5" x14ac:dyDescent="0.35">
      <c r="B15" s="7" t="s">
        <v>26</v>
      </c>
      <c r="C15" s="10" t="s">
        <v>3</v>
      </c>
    </row>
    <row r="16" spans="2:5" ht="15" thickBot="1" x14ac:dyDescent="0.4">
      <c r="B16" s="8" t="s">
        <v>27</v>
      </c>
      <c r="C16" s="11" t="s">
        <v>28</v>
      </c>
    </row>
    <row r="17" spans="2:3" x14ac:dyDescent="0.35">
      <c r="B17" s="1"/>
      <c r="C17" s="1"/>
    </row>
    <row r="18" spans="2:3" ht="15" thickBot="1" x14ac:dyDescent="0.4">
      <c r="B18" s="5" t="s">
        <v>29</v>
      </c>
      <c r="C18" s="1"/>
    </row>
    <row r="19" spans="2:3" x14ac:dyDescent="0.35">
      <c r="B19" s="6" t="s">
        <v>2</v>
      </c>
      <c r="C19" s="14">
        <v>5.0000000000000001E-3</v>
      </c>
    </row>
    <row r="20" spans="2:3" x14ac:dyDescent="0.35">
      <c r="B20" s="13" t="s">
        <v>115</v>
      </c>
      <c r="C20" s="15">
        <v>101.78</v>
      </c>
    </row>
    <row r="21" spans="2:3" x14ac:dyDescent="0.35">
      <c r="B21" s="7" t="s">
        <v>30</v>
      </c>
      <c r="C21" s="15">
        <v>100</v>
      </c>
    </row>
    <row r="22" spans="2:3" x14ac:dyDescent="0.35">
      <c r="B22" s="7" t="s">
        <v>0</v>
      </c>
      <c r="C22" s="16">
        <v>46100</v>
      </c>
    </row>
    <row r="23" spans="2:3" x14ac:dyDescent="0.35">
      <c r="B23" s="13" t="s">
        <v>1</v>
      </c>
      <c r="C23" s="17">
        <f>IF(WEEKDAY(C22,2)=5,C22+3,IF(WEEKDAY(C22,2)=4,C22+4,C22+2))</f>
        <v>46104</v>
      </c>
    </row>
    <row r="24" spans="2:3" x14ac:dyDescent="0.35">
      <c r="B24" s="7" t="s">
        <v>39</v>
      </c>
      <c r="C24" s="16">
        <f>IF(DATE(YEAR(C23),4,15)&lt;=C23,DATE(YEAR(C23),4,15),DATE(YEAR(C23)-1,4,15))</f>
        <v>45762</v>
      </c>
    </row>
    <row r="25" spans="2:3" x14ac:dyDescent="0.35">
      <c r="B25" s="18" t="s">
        <v>31</v>
      </c>
      <c r="C25" s="10">
        <f>IF(EDATE(C24,12)=C23,0,_xlfn.DAYS(C23,C24))</f>
        <v>342</v>
      </c>
    </row>
    <row r="26" spans="2:3" ht="15" thickBot="1" x14ac:dyDescent="0.4">
      <c r="B26" s="8" t="s">
        <v>6</v>
      </c>
      <c r="C26" s="19">
        <f>_xlfn.XLOOKUP(C23,coefficient!A:A,coefficient!B:B,"")</f>
        <v>1.29437</v>
      </c>
    </row>
    <row r="27" spans="2:3" x14ac:dyDescent="0.35">
      <c r="B27" s="1"/>
      <c r="C27" s="1"/>
    </row>
    <row r="28" spans="2:3" ht="15" thickBot="1" x14ac:dyDescent="0.4">
      <c r="B28" s="20" t="s">
        <v>113</v>
      </c>
      <c r="C28" s="21"/>
    </row>
    <row r="29" spans="2:3" x14ac:dyDescent="0.35">
      <c r="B29" s="28" t="s">
        <v>37</v>
      </c>
      <c r="C29" s="71">
        <f>C20</f>
        <v>101.78</v>
      </c>
    </row>
    <row r="30" spans="2:3" x14ac:dyDescent="0.35">
      <c r="B30" s="1" t="s">
        <v>36</v>
      </c>
      <c r="C30" s="24"/>
    </row>
    <row r="31" spans="2:3" x14ac:dyDescent="0.35">
      <c r="B31" s="26" t="s">
        <v>35</v>
      </c>
      <c r="C31" s="25"/>
    </row>
    <row r="32" spans="2:3" x14ac:dyDescent="0.35">
      <c r="B32" s="1"/>
      <c r="C32" s="1"/>
    </row>
    <row r="33" spans="1:3" ht="15" thickBot="1" x14ac:dyDescent="0.4">
      <c r="A33" s="1"/>
      <c r="B33" s="20" t="s">
        <v>114</v>
      </c>
      <c r="C33" s="20"/>
    </row>
    <row r="34" spans="1:3" x14ac:dyDescent="0.35">
      <c r="B34" s="22" t="s">
        <v>33</v>
      </c>
      <c r="C34" s="23">
        <f>C29*$C$26</f>
        <v>131.74097860000001</v>
      </c>
    </row>
    <row r="35" spans="1:3" x14ac:dyDescent="0.35">
      <c r="B35" s="1" t="s">
        <v>34</v>
      </c>
      <c r="C35" s="24"/>
    </row>
    <row r="36" spans="1:3" x14ac:dyDescent="0.35">
      <c r="B36" s="27" t="s">
        <v>35</v>
      </c>
      <c r="C36" s="29"/>
    </row>
    <row r="38" spans="1:3" x14ac:dyDescent="0.35">
      <c r="B38" s="3"/>
    </row>
    <row r="39" spans="1:3" x14ac:dyDescent="0.35">
      <c r="B39" s="3"/>
    </row>
    <row r="43" spans="1:3" x14ac:dyDescent="0.35">
      <c r="B43" s="5"/>
    </row>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B43DE-36E8-4D68-A58C-6FCE46E72D67}">
  <sheetPr codeName="Sheet3">
    <tabColor theme="1"/>
  </sheetPr>
  <dimension ref="A13:E43"/>
  <sheetViews>
    <sheetView showGridLines="0" tabSelected="1" topLeftCell="A42" zoomScale="85" zoomScaleNormal="85" workbookViewId="0">
      <selection activeCell="B34" sqref="B34:C34"/>
    </sheetView>
  </sheetViews>
  <sheetFormatPr defaultRowHeight="14.5" x14ac:dyDescent="0.35"/>
  <cols>
    <col min="1" max="1" width="1.36328125" customWidth="1"/>
    <col min="2" max="2" width="31.90625" customWidth="1"/>
    <col min="3" max="3" width="14.81640625" customWidth="1"/>
  </cols>
  <sheetData>
    <row r="13" spans="2:5" ht="15" thickBot="1" x14ac:dyDescent="0.4">
      <c r="B13" s="5" t="s">
        <v>24</v>
      </c>
    </row>
    <row r="14" spans="2:5" x14ac:dyDescent="0.35">
      <c r="B14" s="6" t="s">
        <v>25</v>
      </c>
      <c r="C14" s="9" t="s">
        <v>7</v>
      </c>
      <c r="E14" s="12"/>
    </row>
    <row r="15" spans="2:5" x14ac:dyDescent="0.35">
      <c r="B15" s="7" t="s">
        <v>26</v>
      </c>
      <c r="C15" s="10" t="s">
        <v>3</v>
      </c>
    </row>
    <row r="16" spans="2:5" ht="15" thickBot="1" x14ac:dyDescent="0.4">
      <c r="B16" s="8" t="s">
        <v>27</v>
      </c>
      <c r="C16" s="11" t="s">
        <v>28</v>
      </c>
    </row>
    <row r="17" spans="2:3" x14ac:dyDescent="0.35">
      <c r="B17" s="1"/>
      <c r="C17" s="1"/>
    </row>
    <row r="18" spans="2:3" ht="15" thickBot="1" x14ac:dyDescent="0.4">
      <c r="B18" s="5" t="s">
        <v>29</v>
      </c>
      <c r="C18" s="1"/>
    </row>
    <row r="19" spans="2:3" x14ac:dyDescent="0.35">
      <c r="B19" s="6" t="s">
        <v>2</v>
      </c>
      <c r="C19" s="14">
        <v>5.0000000000000001E-3</v>
      </c>
    </row>
    <row r="20" spans="2:3" x14ac:dyDescent="0.35">
      <c r="B20" s="13" t="s">
        <v>115</v>
      </c>
      <c r="C20" s="15">
        <v>101.78</v>
      </c>
    </row>
    <row r="21" spans="2:3" x14ac:dyDescent="0.35">
      <c r="B21" s="7" t="s">
        <v>30</v>
      </c>
      <c r="C21" s="15">
        <v>100</v>
      </c>
    </row>
    <row r="22" spans="2:3" x14ac:dyDescent="0.35">
      <c r="B22" s="7" t="s">
        <v>0</v>
      </c>
      <c r="C22" s="16">
        <v>46100</v>
      </c>
    </row>
    <row r="23" spans="2:3" x14ac:dyDescent="0.35">
      <c r="B23" s="13" t="s">
        <v>1</v>
      </c>
      <c r="C23" s="17">
        <f>IF(WEEKDAY(C22,2)=5,C22+3,IF(WEEKDAY(C22,2)=4,C22+4,C22+2))</f>
        <v>46104</v>
      </c>
    </row>
    <row r="24" spans="2:3" x14ac:dyDescent="0.35">
      <c r="B24" s="7" t="s">
        <v>39</v>
      </c>
      <c r="C24" s="16">
        <f>IF(DATE(YEAR(C23),4,15)&lt;=C23,DATE(YEAR(C23),4,15),DATE(YEAR(C23)-1,4,15))</f>
        <v>45762</v>
      </c>
    </row>
    <row r="25" spans="2:3" x14ac:dyDescent="0.35">
      <c r="B25" s="18" t="s">
        <v>31</v>
      </c>
      <c r="C25" s="10">
        <f>IF(EDATE(C24,12)=C23,0,_xlfn.DAYS(C23,C24))</f>
        <v>342</v>
      </c>
    </row>
    <row r="26" spans="2:3" ht="15" thickBot="1" x14ac:dyDescent="0.4">
      <c r="B26" s="8" t="s">
        <v>6</v>
      </c>
      <c r="C26" s="19">
        <f>_xlfn.XLOOKUP(C23,coefficient!A:A,coefficient!B:B,"")</f>
        <v>1.29437</v>
      </c>
    </row>
    <row r="27" spans="2:3" x14ac:dyDescent="0.35">
      <c r="B27" s="1"/>
      <c r="C27" s="1"/>
    </row>
    <row r="28" spans="2:3" ht="15" thickBot="1" x14ac:dyDescent="0.4">
      <c r="B28" s="20" t="s">
        <v>113</v>
      </c>
      <c r="C28" s="21"/>
    </row>
    <row r="29" spans="2:3" x14ac:dyDescent="0.35">
      <c r="B29" s="28" t="s">
        <v>37</v>
      </c>
      <c r="C29" s="70">
        <f>C20</f>
        <v>101.78</v>
      </c>
    </row>
    <row r="30" spans="2:3" x14ac:dyDescent="0.35">
      <c r="B30" s="1" t="s">
        <v>36</v>
      </c>
      <c r="C30" s="24">
        <f>C21*C19*(C25/_xlfn.DAYS(EDATE(C24,12),C24))</f>
        <v>0.46849315068493153</v>
      </c>
    </row>
    <row r="31" spans="2:3" x14ac:dyDescent="0.35">
      <c r="B31" s="26" t="s">
        <v>35</v>
      </c>
      <c r="C31" s="25">
        <f>C29+C30</f>
        <v>102.24849315068494</v>
      </c>
    </row>
    <row r="32" spans="2:3" x14ac:dyDescent="0.35">
      <c r="B32" s="1"/>
      <c r="C32" s="1"/>
    </row>
    <row r="33" spans="1:3" ht="15" thickBot="1" x14ac:dyDescent="0.4">
      <c r="A33" s="1"/>
      <c r="B33" s="20" t="s">
        <v>114</v>
      </c>
      <c r="C33" s="20"/>
    </row>
    <row r="34" spans="1:3" x14ac:dyDescent="0.35">
      <c r="B34" s="22" t="s">
        <v>33</v>
      </c>
      <c r="C34" s="23">
        <f>C29*$C$26</f>
        <v>131.74097860000001</v>
      </c>
    </row>
    <row r="35" spans="1:3" x14ac:dyDescent="0.35">
      <c r="B35" s="1" t="s">
        <v>34</v>
      </c>
      <c r="C35" s="24">
        <f t="shared" ref="C35:C36" si="0">C30*$C$26</f>
        <v>0.60640347945205486</v>
      </c>
    </row>
    <row r="36" spans="1:3" x14ac:dyDescent="0.35">
      <c r="B36" s="27" t="s">
        <v>35</v>
      </c>
      <c r="C36" s="29">
        <f t="shared" si="0"/>
        <v>132.34738207945207</v>
      </c>
    </row>
    <row r="38" spans="1:3" x14ac:dyDescent="0.35">
      <c r="B38" s="3"/>
    </row>
    <row r="39" spans="1:3" x14ac:dyDescent="0.35">
      <c r="B39" s="3"/>
    </row>
    <row r="43" spans="1:3" x14ac:dyDescent="0.35">
      <c r="B43" s="5" t="s">
        <v>38</v>
      </c>
    </row>
  </sheetData>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D7CA1-3506-4C4E-8197-3E5F8FF13577}">
  <sheetPr codeName="Sheet4"/>
  <dimension ref="A1:B63"/>
  <sheetViews>
    <sheetView workbookViewId="0">
      <selection activeCell="C34" sqref="C34"/>
    </sheetView>
  </sheetViews>
  <sheetFormatPr defaultRowHeight="14.5" x14ac:dyDescent="0.35"/>
  <cols>
    <col min="1" max="1" width="9.90625" bestFit="1" customWidth="1"/>
    <col min="2" max="2" width="12.1796875" customWidth="1"/>
  </cols>
  <sheetData>
    <row r="1" spans="1:2" x14ac:dyDescent="0.35">
      <c r="A1" t="s">
        <v>15</v>
      </c>
      <c r="B1" t="s">
        <v>32</v>
      </c>
    </row>
    <row r="2" spans="1:2" x14ac:dyDescent="0.35">
      <c r="A2" s="3">
        <v>46082</v>
      </c>
      <c r="B2">
        <v>1.2998700000000001</v>
      </c>
    </row>
    <row r="3" spans="1:2" x14ac:dyDescent="0.35">
      <c r="A3" s="3">
        <v>46083</v>
      </c>
      <c r="B3">
        <v>1.29962</v>
      </c>
    </row>
    <row r="4" spans="1:2" x14ac:dyDescent="0.35">
      <c r="A4" s="3">
        <v>46084</v>
      </c>
      <c r="B4">
        <v>1.2993699999999999</v>
      </c>
    </row>
    <row r="5" spans="1:2" x14ac:dyDescent="0.35">
      <c r="A5" s="3">
        <v>46085</v>
      </c>
      <c r="B5">
        <v>1.2991200000000001</v>
      </c>
    </row>
    <row r="6" spans="1:2" x14ac:dyDescent="0.35">
      <c r="A6" s="3">
        <v>46086</v>
      </c>
      <c r="B6">
        <v>1.29887</v>
      </c>
    </row>
    <row r="7" spans="1:2" x14ac:dyDescent="0.35">
      <c r="A7" s="3">
        <v>46087</v>
      </c>
      <c r="B7">
        <v>1.2986200000000001</v>
      </c>
    </row>
    <row r="8" spans="1:2" x14ac:dyDescent="0.35">
      <c r="A8" s="3">
        <v>46088</v>
      </c>
      <c r="B8">
        <v>1.29837</v>
      </c>
    </row>
    <row r="9" spans="1:2" x14ac:dyDescent="0.35">
      <c r="A9" s="3">
        <v>46089</v>
      </c>
      <c r="B9">
        <v>1.2981199999999999</v>
      </c>
    </row>
    <row r="10" spans="1:2" x14ac:dyDescent="0.35">
      <c r="A10" s="3">
        <v>46090</v>
      </c>
      <c r="B10">
        <v>1.2978700000000001</v>
      </c>
    </row>
    <row r="11" spans="1:2" x14ac:dyDescent="0.35">
      <c r="A11" s="3">
        <v>46091</v>
      </c>
      <c r="B11">
        <v>1.29762</v>
      </c>
    </row>
    <row r="12" spans="1:2" x14ac:dyDescent="0.35">
      <c r="A12" s="3">
        <v>46092</v>
      </c>
      <c r="B12">
        <v>1.2973699999999999</v>
      </c>
    </row>
    <row r="13" spans="1:2" x14ac:dyDescent="0.35">
      <c r="A13" s="3">
        <v>46093</v>
      </c>
      <c r="B13">
        <v>1.2971200000000001</v>
      </c>
    </row>
    <row r="14" spans="1:2" x14ac:dyDescent="0.35">
      <c r="A14" s="3">
        <v>46094</v>
      </c>
      <c r="B14">
        <v>1.29687</v>
      </c>
    </row>
    <row r="15" spans="1:2" x14ac:dyDescent="0.35">
      <c r="A15" s="3">
        <v>46095</v>
      </c>
      <c r="B15">
        <v>1.2966200000000001</v>
      </c>
    </row>
    <row r="16" spans="1:2" x14ac:dyDescent="0.35">
      <c r="A16" s="3">
        <v>46096</v>
      </c>
      <c r="B16">
        <v>1.29637</v>
      </c>
    </row>
    <row r="17" spans="1:2" x14ac:dyDescent="0.35">
      <c r="A17" s="3">
        <v>46097</v>
      </c>
      <c r="B17">
        <v>1.2961199999999999</v>
      </c>
    </row>
    <row r="18" spans="1:2" x14ac:dyDescent="0.35">
      <c r="A18" s="3">
        <v>46098</v>
      </c>
      <c r="B18">
        <v>1.2958700000000001</v>
      </c>
    </row>
    <row r="19" spans="1:2" x14ac:dyDescent="0.35">
      <c r="A19" s="3">
        <v>46099</v>
      </c>
      <c r="B19">
        <v>1.29562</v>
      </c>
    </row>
    <row r="20" spans="1:2" x14ac:dyDescent="0.35">
      <c r="A20" s="3">
        <v>46100</v>
      </c>
      <c r="B20">
        <v>1.2953699999999999</v>
      </c>
    </row>
    <row r="21" spans="1:2" x14ac:dyDescent="0.35">
      <c r="A21" s="3">
        <v>46101</v>
      </c>
      <c r="B21">
        <v>1.29512</v>
      </c>
    </row>
    <row r="22" spans="1:2" x14ac:dyDescent="0.35">
      <c r="A22" s="3">
        <v>46102</v>
      </c>
      <c r="B22">
        <v>1.29487</v>
      </c>
    </row>
    <row r="23" spans="1:2" x14ac:dyDescent="0.35">
      <c r="A23" s="3">
        <v>46103</v>
      </c>
      <c r="B23">
        <v>1.2946200000000001</v>
      </c>
    </row>
    <row r="24" spans="1:2" x14ac:dyDescent="0.35">
      <c r="A24" s="3">
        <v>46104</v>
      </c>
      <c r="B24">
        <v>1.29437</v>
      </c>
    </row>
    <row r="25" spans="1:2" x14ac:dyDescent="0.35">
      <c r="A25" s="3">
        <v>46105</v>
      </c>
      <c r="B25">
        <v>1.2941199999999999</v>
      </c>
    </row>
    <row r="26" spans="1:2" x14ac:dyDescent="0.35">
      <c r="A26" s="3">
        <v>46106</v>
      </c>
      <c r="B26">
        <v>1.2938700000000001</v>
      </c>
    </row>
    <row r="27" spans="1:2" x14ac:dyDescent="0.35">
      <c r="A27" s="3">
        <v>46107</v>
      </c>
      <c r="B27">
        <v>1.29362</v>
      </c>
    </row>
    <row r="28" spans="1:2" x14ac:dyDescent="0.35">
      <c r="A28" s="3">
        <v>46108</v>
      </c>
      <c r="B28">
        <v>1.2933699999999999</v>
      </c>
    </row>
    <row r="29" spans="1:2" x14ac:dyDescent="0.35">
      <c r="A29" s="3">
        <v>46109</v>
      </c>
      <c r="B29">
        <v>1.29312</v>
      </c>
    </row>
    <row r="30" spans="1:2" x14ac:dyDescent="0.35">
      <c r="A30" s="3">
        <v>46110</v>
      </c>
      <c r="B30">
        <v>1.29287</v>
      </c>
    </row>
    <row r="31" spans="1:2" x14ac:dyDescent="0.35">
      <c r="A31" s="3">
        <v>46111</v>
      </c>
      <c r="B31">
        <v>1.2926200000000001</v>
      </c>
    </row>
    <row r="32" spans="1:2" x14ac:dyDescent="0.35">
      <c r="A32" s="3">
        <v>46112</v>
      </c>
      <c r="B32">
        <v>1.29237</v>
      </c>
    </row>
    <row r="33" spans="1:2" x14ac:dyDescent="0.35">
      <c r="A33" s="3">
        <v>46113</v>
      </c>
      <c r="B33">
        <v>1.2921199999999999</v>
      </c>
    </row>
    <row r="34" spans="1:2" x14ac:dyDescent="0.35">
      <c r="A34" s="3">
        <v>46114</v>
      </c>
      <c r="B34">
        <v>1.2924</v>
      </c>
    </row>
    <row r="35" spans="1:2" x14ac:dyDescent="0.35">
      <c r="A35" s="3">
        <v>46115</v>
      </c>
      <c r="B35">
        <v>1.2926800000000001</v>
      </c>
    </row>
    <row r="36" spans="1:2" x14ac:dyDescent="0.35">
      <c r="A36" s="3">
        <v>46116</v>
      </c>
      <c r="B36">
        <v>1.2929600000000001</v>
      </c>
    </row>
    <row r="37" spans="1:2" x14ac:dyDescent="0.35">
      <c r="A37" s="3">
        <v>46117</v>
      </c>
      <c r="B37">
        <v>1.2932399999999999</v>
      </c>
    </row>
    <row r="38" spans="1:2" x14ac:dyDescent="0.35">
      <c r="A38" s="3">
        <v>46118</v>
      </c>
      <c r="B38">
        <v>1.29352</v>
      </c>
    </row>
    <row r="39" spans="1:2" x14ac:dyDescent="0.35">
      <c r="A39" s="3">
        <v>46119</v>
      </c>
      <c r="B39">
        <v>1.2938000000000001</v>
      </c>
    </row>
    <row r="40" spans="1:2" x14ac:dyDescent="0.35">
      <c r="A40" s="3">
        <v>46120</v>
      </c>
      <c r="B40">
        <v>1.2940799999999999</v>
      </c>
    </row>
    <row r="41" spans="1:2" x14ac:dyDescent="0.35">
      <c r="A41" s="3">
        <v>46121</v>
      </c>
      <c r="B41">
        <v>1.29436</v>
      </c>
    </row>
    <row r="42" spans="1:2" x14ac:dyDescent="0.35">
      <c r="A42" s="3">
        <v>46122</v>
      </c>
      <c r="B42">
        <v>1.29464</v>
      </c>
    </row>
    <row r="43" spans="1:2" x14ac:dyDescent="0.35">
      <c r="A43" s="3">
        <v>46123</v>
      </c>
      <c r="B43">
        <v>1.2949200000000001</v>
      </c>
    </row>
    <row r="44" spans="1:2" x14ac:dyDescent="0.35">
      <c r="A44" s="3">
        <v>46124</v>
      </c>
      <c r="B44">
        <v>1.2951999999999999</v>
      </c>
    </row>
    <row r="45" spans="1:2" x14ac:dyDescent="0.35">
      <c r="A45" s="3">
        <v>46125</v>
      </c>
      <c r="B45">
        <v>1.29548</v>
      </c>
    </row>
    <row r="46" spans="1:2" x14ac:dyDescent="0.35">
      <c r="A46" s="3">
        <v>46126</v>
      </c>
      <c r="B46">
        <v>1.29576</v>
      </c>
    </row>
    <row r="47" spans="1:2" x14ac:dyDescent="0.35">
      <c r="A47" s="3">
        <v>46127</v>
      </c>
      <c r="B47">
        <v>1.2960400000000001</v>
      </c>
    </row>
    <row r="48" spans="1:2" x14ac:dyDescent="0.35">
      <c r="A48" s="3">
        <v>46128</v>
      </c>
      <c r="B48">
        <v>1.2963199999999999</v>
      </c>
    </row>
    <row r="49" spans="1:2" x14ac:dyDescent="0.35">
      <c r="A49" s="3">
        <v>46129</v>
      </c>
      <c r="B49">
        <v>1.2966</v>
      </c>
    </row>
    <row r="50" spans="1:2" x14ac:dyDescent="0.35">
      <c r="A50" s="3">
        <v>46130</v>
      </c>
      <c r="B50">
        <v>1.29688</v>
      </c>
    </row>
    <row r="51" spans="1:2" x14ac:dyDescent="0.35">
      <c r="A51" s="3">
        <v>46131</v>
      </c>
      <c r="B51">
        <v>1.2971600000000001</v>
      </c>
    </row>
    <row r="52" spans="1:2" x14ac:dyDescent="0.35">
      <c r="A52" s="3">
        <v>46132</v>
      </c>
      <c r="B52">
        <v>1.2974399999999999</v>
      </c>
    </row>
    <row r="53" spans="1:2" x14ac:dyDescent="0.35">
      <c r="A53" s="3">
        <v>46133</v>
      </c>
      <c r="B53">
        <v>1.29772</v>
      </c>
    </row>
    <row r="54" spans="1:2" x14ac:dyDescent="0.35">
      <c r="A54" s="3">
        <v>46134</v>
      </c>
      <c r="B54">
        <v>1.298</v>
      </c>
    </row>
    <row r="55" spans="1:2" x14ac:dyDescent="0.35">
      <c r="A55" s="3">
        <v>46135</v>
      </c>
      <c r="B55">
        <v>1.2982800000000001</v>
      </c>
    </row>
    <row r="56" spans="1:2" x14ac:dyDescent="0.35">
      <c r="A56" s="3">
        <v>46136</v>
      </c>
      <c r="B56">
        <v>1.2985599999999999</v>
      </c>
    </row>
    <row r="57" spans="1:2" x14ac:dyDescent="0.35">
      <c r="A57" s="3">
        <v>46137</v>
      </c>
      <c r="B57">
        <v>1.29884</v>
      </c>
    </row>
    <row r="58" spans="1:2" x14ac:dyDescent="0.35">
      <c r="A58" s="3">
        <v>46138</v>
      </c>
      <c r="B58">
        <v>1.2991200000000001</v>
      </c>
    </row>
    <row r="59" spans="1:2" x14ac:dyDescent="0.35">
      <c r="A59" s="3">
        <v>46139</v>
      </c>
      <c r="B59">
        <v>1.2994000000000001</v>
      </c>
    </row>
    <row r="60" spans="1:2" x14ac:dyDescent="0.35">
      <c r="A60" s="3">
        <v>46140</v>
      </c>
      <c r="B60">
        <v>1.2996799999999999</v>
      </c>
    </row>
    <row r="61" spans="1:2" x14ac:dyDescent="0.35">
      <c r="A61" s="3">
        <v>46141</v>
      </c>
      <c r="B61">
        <v>1.29996</v>
      </c>
    </row>
    <row r="62" spans="1:2" x14ac:dyDescent="0.35">
      <c r="A62" s="3">
        <v>46142</v>
      </c>
      <c r="B62">
        <v>1.3002400000000001</v>
      </c>
    </row>
    <row r="63" spans="1:2" x14ac:dyDescent="0.35">
      <c r="A63" s="3">
        <v>46143</v>
      </c>
      <c r="B63">
        <v>1.3005199999999999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1D5DD-7545-4DBE-850B-5AC97F775A4B}">
  <sheetPr codeName="Sheet5">
    <tabColor theme="1"/>
  </sheetPr>
  <dimension ref="B4:H62"/>
  <sheetViews>
    <sheetView showGridLines="0" topLeftCell="A30" zoomScale="70" zoomScaleNormal="70" workbookViewId="0">
      <selection activeCell="C23" sqref="C23"/>
    </sheetView>
  </sheetViews>
  <sheetFormatPr defaultRowHeight="14.5" outlineLevelRow="1" x14ac:dyDescent="0.35"/>
  <cols>
    <col min="1" max="1" width="1.453125" customWidth="1"/>
    <col min="2" max="2" width="35.54296875" customWidth="1"/>
    <col min="3" max="3" width="13.7265625" bestFit="1" customWidth="1"/>
    <col min="4" max="7" width="10.36328125" bestFit="1" customWidth="1"/>
  </cols>
  <sheetData>
    <row r="4" spans="2:3" x14ac:dyDescent="0.35">
      <c r="B4" s="1"/>
    </row>
    <row r="5" spans="2:3" x14ac:dyDescent="0.35">
      <c r="B5" s="1"/>
    </row>
    <row r="6" spans="2:3" x14ac:dyDescent="0.35">
      <c r="B6" s="1"/>
    </row>
    <row r="12" spans="2:3" ht="15" thickBot="1" x14ac:dyDescent="0.4">
      <c r="B12" s="5" t="s">
        <v>24</v>
      </c>
    </row>
    <row r="13" spans="2:3" x14ac:dyDescent="0.35">
      <c r="B13" s="6" t="s">
        <v>25</v>
      </c>
      <c r="C13" s="9" t="s">
        <v>7</v>
      </c>
    </row>
    <row r="14" spans="2:3" x14ac:dyDescent="0.35">
      <c r="B14" s="7" t="s">
        <v>26</v>
      </c>
      <c r="C14" s="10" t="s">
        <v>3</v>
      </c>
    </row>
    <row r="15" spans="2:3" ht="15" thickBot="1" x14ac:dyDescent="0.4">
      <c r="B15" s="8" t="s">
        <v>27</v>
      </c>
      <c r="C15" s="11" t="s">
        <v>28</v>
      </c>
    </row>
    <row r="17" spans="2:7" ht="15" thickBot="1" x14ac:dyDescent="0.4">
      <c r="B17" s="5" t="s">
        <v>29</v>
      </c>
    </row>
    <row r="18" spans="2:7" x14ac:dyDescent="0.35">
      <c r="B18" s="6" t="s">
        <v>8</v>
      </c>
      <c r="C18" s="40">
        <v>6.1200000000000002E-4</v>
      </c>
    </row>
    <row r="19" spans="2:7" x14ac:dyDescent="0.35">
      <c r="B19" s="7" t="s">
        <v>2</v>
      </c>
      <c r="C19" s="32">
        <v>5.0000000000000001E-3</v>
      </c>
    </row>
    <row r="20" spans="2:7" x14ac:dyDescent="0.35">
      <c r="B20" s="18" t="s">
        <v>4</v>
      </c>
      <c r="C20" s="33">
        <v>100</v>
      </c>
    </row>
    <row r="21" spans="2:7" x14ac:dyDescent="0.35">
      <c r="B21" s="13" t="s">
        <v>0</v>
      </c>
      <c r="C21" s="16">
        <v>46100</v>
      </c>
    </row>
    <row r="22" spans="2:7" x14ac:dyDescent="0.35">
      <c r="B22" s="7" t="s">
        <v>1</v>
      </c>
      <c r="C22" s="17">
        <f>IF(WEEKDAY(C21,2)=5,C21+3,IF(WEEKDAY(C21,2)=4,C21+4,C21+2))</f>
        <v>46104</v>
      </c>
    </row>
    <row r="23" spans="2:7" x14ac:dyDescent="0.35">
      <c r="B23" s="18" t="s">
        <v>17</v>
      </c>
      <c r="C23" s="34">
        <f>IF(DATE(YEAR(C22),4,15)&lt;=C22,DATE(YEAR(C22),4,15),DATE(YEAR(C22)-1,4,15))</f>
        <v>45762</v>
      </c>
    </row>
    <row r="24" spans="2:7" x14ac:dyDescent="0.35">
      <c r="B24" s="13" t="s">
        <v>18</v>
      </c>
      <c r="C24" s="17">
        <f>EDATE(C23,12)</f>
        <v>46127</v>
      </c>
    </row>
    <row r="25" spans="2:7" x14ac:dyDescent="0.35">
      <c r="B25" s="13" t="s">
        <v>40</v>
      </c>
      <c r="C25" s="17">
        <v>47588</v>
      </c>
    </row>
    <row r="26" spans="2:7" x14ac:dyDescent="0.35">
      <c r="B26" s="13" t="s">
        <v>42</v>
      </c>
      <c r="C26" s="43">
        <f>IF(EDATE(C23,12)=C22,0,_xlfn.DAYS(C22,C23))</f>
        <v>342</v>
      </c>
    </row>
    <row r="27" spans="2:7" ht="15" thickBot="1" x14ac:dyDescent="0.4">
      <c r="B27" s="8" t="s">
        <v>6</v>
      </c>
      <c r="C27" s="11">
        <f>_xlfn.XLOOKUP(C22,coefficient!A:A,coefficient!B:B,"")</f>
        <v>1.29437</v>
      </c>
    </row>
    <row r="30" spans="2:7" x14ac:dyDescent="0.35">
      <c r="B30" s="5" t="s">
        <v>43</v>
      </c>
    </row>
    <row r="31" spans="2:7" x14ac:dyDescent="0.35">
      <c r="B31" s="5"/>
    </row>
    <row r="32" spans="2:7" x14ac:dyDescent="0.35">
      <c r="B32" s="35" t="s">
        <v>15</v>
      </c>
      <c r="C32" s="36">
        <v>46127</v>
      </c>
      <c r="D32" s="36">
        <v>46492</v>
      </c>
      <c r="E32" s="36">
        <v>46858</v>
      </c>
      <c r="F32" s="36">
        <v>47223</v>
      </c>
      <c r="G32" s="37">
        <v>47588</v>
      </c>
    </row>
    <row r="33" spans="2:8" x14ac:dyDescent="0.35">
      <c r="B33" t="s">
        <v>13</v>
      </c>
      <c r="C33" s="2"/>
      <c r="D33" s="2"/>
      <c r="E33" s="2"/>
      <c r="F33" s="2"/>
      <c r="G33" s="2"/>
    </row>
    <row r="34" spans="2:8" x14ac:dyDescent="0.35">
      <c r="B34" t="s">
        <v>14</v>
      </c>
      <c r="G34" s="2"/>
    </row>
    <row r="35" spans="2:8" x14ac:dyDescent="0.35">
      <c r="B35" s="38" t="s">
        <v>21</v>
      </c>
      <c r="C35" s="39"/>
      <c r="D35" s="39"/>
      <c r="E35" s="39"/>
      <c r="F35" s="39"/>
      <c r="G35" s="39"/>
    </row>
    <row r="36" spans="2:8" outlineLevel="1" x14ac:dyDescent="0.35">
      <c r="B36" t="s">
        <v>23</v>
      </c>
    </row>
    <row r="37" spans="2:8" outlineLevel="1" x14ac:dyDescent="0.35">
      <c r="B37" t="s">
        <v>16</v>
      </c>
    </row>
    <row r="38" spans="2:8" outlineLevel="1" x14ac:dyDescent="0.35">
      <c r="B38" t="s">
        <v>19</v>
      </c>
    </row>
    <row r="39" spans="2:8" x14ac:dyDescent="0.35">
      <c r="B39" s="41" t="s">
        <v>20</v>
      </c>
      <c r="C39" s="42"/>
      <c r="D39" s="42"/>
      <c r="E39" s="42"/>
      <c r="F39" s="42"/>
      <c r="G39" s="42"/>
      <c r="H39" s="2"/>
    </row>
    <row r="41" spans="2:8" x14ac:dyDescent="0.35">
      <c r="B41" s="45" t="s">
        <v>22</v>
      </c>
      <c r="C41" s="46"/>
    </row>
    <row r="42" spans="2:8" ht="15" thickBot="1" x14ac:dyDescent="0.4">
      <c r="B42" t="s">
        <v>44</v>
      </c>
      <c r="C42" s="44"/>
    </row>
    <row r="43" spans="2:8" ht="15" thickTop="1" x14ac:dyDescent="0.35">
      <c r="B43" s="48" t="s">
        <v>5</v>
      </c>
      <c r="C43" s="47"/>
    </row>
    <row r="45" spans="2:8" s="49" customFormat="1" x14ac:dyDescent="0.35"/>
    <row r="47" spans="2:8" x14ac:dyDescent="0.35">
      <c r="B47" s="5" t="s">
        <v>45</v>
      </c>
    </row>
    <row r="48" spans="2:8" x14ac:dyDescent="0.35">
      <c r="B48" s="5"/>
    </row>
    <row r="49" spans="2:7" x14ac:dyDescent="0.35">
      <c r="B49" s="35" t="s">
        <v>15</v>
      </c>
      <c r="C49" s="36">
        <v>46127</v>
      </c>
      <c r="D49" s="36">
        <v>46492</v>
      </c>
      <c r="E49" s="36">
        <v>46858</v>
      </c>
      <c r="F49" s="36">
        <v>47223</v>
      </c>
      <c r="G49" s="37">
        <v>47588</v>
      </c>
    </row>
    <row r="50" spans="2:7" x14ac:dyDescent="0.35">
      <c r="B50" t="s">
        <v>13</v>
      </c>
      <c r="C50" s="2"/>
      <c r="D50" s="2"/>
      <c r="E50" s="2"/>
      <c r="F50" s="2"/>
      <c r="G50" s="2"/>
    </row>
    <row r="51" spans="2:7" x14ac:dyDescent="0.35">
      <c r="B51" t="s">
        <v>14</v>
      </c>
      <c r="G51" s="2"/>
    </row>
    <row r="52" spans="2:7" x14ac:dyDescent="0.35">
      <c r="B52" s="38" t="s">
        <v>21</v>
      </c>
      <c r="C52" s="39"/>
      <c r="D52" s="39"/>
      <c r="E52" s="39"/>
      <c r="F52" s="39"/>
      <c r="G52" s="39"/>
    </row>
    <row r="53" spans="2:7" outlineLevel="1" x14ac:dyDescent="0.35">
      <c r="B53" t="s">
        <v>23</v>
      </c>
    </row>
    <row r="54" spans="2:7" outlineLevel="1" x14ac:dyDescent="0.35">
      <c r="B54" t="s">
        <v>16</v>
      </c>
    </row>
    <row r="55" spans="2:7" outlineLevel="1" x14ac:dyDescent="0.35">
      <c r="B55" t="s">
        <v>19</v>
      </c>
    </row>
    <row r="56" spans="2:7" x14ac:dyDescent="0.35">
      <c r="B56" s="41" t="s">
        <v>20</v>
      </c>
      <c r="C56" s="42"/>
      <c r="D56" s="42"/>
      <c r="E56" s="42"/>
      <c r="F56" s="42"/>
      <c r="G56" s="42"/>
    </row>
    <row r="58" spans="2:7" x14ac:dyDescent="0.35">
      <c r="B58" s="45" t="s">
        <v>22</v>
      </c>
      <c r="C58" s="50"/>
    </row>
    <row r="59" spans="2:7" ht="15" thickBot="1" x14ac:dyDescent="0.4">
      <c r="B59" t="s">
        <v>44</v>
      </c>
      <c r="C59" s="44"/>
    </row>
    <row r="60" spans="2:7" ht="15" thickTop="1" x14ac:dyDescent="0.35">
      <c r="B60" s="48" t="s">
        <v>5</v>
      </c>
      <c r="C60" s="47"/>
    </row>
    <row r="62" spans="2:7" s="49" customFormat="1" x14ac:dyDescent="0.35"/>
  </sheetData>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448F1-1506-4902-BD9A-01774F16C0A0}">
  <sheetPr codeName="Sheet6">
    <tabColor theme="1"/>
  </sheetPr>
  <dimension ref="B4:H87"/>
  <sheetViews>
    <sheetView showGridLines="0" zoomScale="70" zoomScaleNormal="70" workbookViewId="0">
      <selection activeCell="D58" sqref="D58"/>
    </sheetView>
  </sheetViews>
  <sheetFormatPr defaultRowHeight="14.5" outlineLevelRow="1" x14ac:dyDescent="0.35"/>
  <cols>
    <col min="1" max="1" width="1.453125" customWidth="1"/>
    <col min="2" max="2" width="35.26953125" customWidth="1"/>
    <col min="3" max="3" width="13.7265625" bestFit="1" customWidth="1"/>
    <col min="4" max="7" width="10.36328125" bestFit="1" customWidth="1"/>
  </cols>
  <sheetData>
    <row r="4" spans="2:2" x14ac:dyDescent="0.35">
      <c r="B4" s="1"/>
    </row>
    <row r="5" spans="2:2" x14ac:dyDescent="0.35">
      <c r="B5" s="1"/>
    </row>
    <row r="6" spans="2:2" x14ac:dyDescent="0.35">
      <c r="B6" s="1"/>
    </row>
    <row r="17" spans="2:3" ht="15" thickBot="1" x14ac:dyDescent="0.4">
      <c r="B17" s="5" t="s">
        <v>24</v>
      </c>
    </row>
    <row r="18" spans="2:3" x14ac:dyDescent="0.35">
      <c r="B18" s="6" t="s">
        <v>25</v>
      </c>
      <c r="C18" s="9" t="s">
        <v>7</v>
      </c>
    </row>
    <row r="19" spans="2:3" x14ac:dyDescent="0.35">
      <c r="B19" s="7" t="s">
        <v>26</v>
      </c>
      <c r="C19" s="10" t="s">
        <v>3</v>
      </c>
    </row>
    <row r="20" spans="2:3" ht="15" thickBot="1" x14ac:dyDescent="0.4">
      <c r="B20" s="8" t="s">
        <v>27</v>
      </c>
      <c r="C20" s="11" t="s">
        <v>28</v>
      </c>
    </row>
    <row r="22" spans="2:3" ht="15" thickBot="1" x14ac:dyDescent="0.4">
      <c r="B22" s="5" t="s">
        <v>29</v>
      </c>
    </row>
    <row r="23" spans="2:3" x14ac:dyDescent="0.35">
      <c r="B23" s="6" t="s">
        <v>8</v>
      </c>
      <c r="C23" s="40">
        <v>6.1200000000000002E-4</v>
      </c>
    </row>
    <row r="24" spans="2:3" x14ac:dyDescent="0.35">
      <c r="B24" s="7" t="s">
        <v>2</v>
      </c>
      <c r="C24" s="32">
        <v>5.0000000000000001E-3</v>
      </c>
    </row>
    <row r="25" spans="2:3" x14ac:dyDescent="0.35">
      <c r="B25" s="18" t="s">
        <v>4</v>
      </c>
      <c r="C25" s="33">
        <v>100</v>
      </c>
    </row>
    <row r="26" spans="2:3" x14ac:dyDescent="0.35">
      <c r="B26" s="13" t="s">
        <v>0</v>
      </c>
      <c r="C26" s="16">
        <v>46100</v>
      </c>
    </row>
    <row r="27" spans="2:3" x14ac:dyDescent="0.35">
      <c r="B27" s="7" t="s">
        <v>1</v>
      </c>
      <c r="C27" s="17">
        <f>IF(WEEKDAY(C26,2)=5,C26+3,IF(WEEKDAY(C26,2)=4,C26+4,C26+2))</f>
        <v>46104</v>
      </c>
    </row>
    <row r="28" spans="2:3" x14ac:dyDescent="0.35">
      <c r="B28" s="18" t="s">
        <v>17</v>
      </c>
      <c r="C28" s="34">
        <f>IF(DATE(YEAR(C27),4,15)&lt;=C27,DATE(YEAR(C27),4,15),DATE(YEAR(C27)-1,4,15))</f>
        <v>45762</v>
      </c>
    </row>
    <row r="29" spans="2:3" x14ac:dyDescent="0.35">
      <c r="B29" s="13" t="s">
        <v>18</v>
      </c>
      <c r="C29" s="17">
        <f>EDATE(C28,12)</f>
        <v>46127</v>
      </c>
    </row>
    <row r="30" spans="2:3" x14ac:dyDescent="0.35">
      <c r="B30" s="13" t="s">
        <v>40</v>
      </c>
      <c r="C30" s="17">
        <v>47588</v>
      </c>
    </row>
    <row r="31" spans="2:3" x14ac:dyDescent="0.35">
      <c r="B31" s="13" t="s">
        <v>42</v>
      </c>
      <c r="C31" s="43">
        <f>IF(EDATE(C28,12)=C27,0,_xlfn.DAYS(C27,C28))</f>
        <v>342</v>
      </c>
    </row>
    <row r="32" spans="2:3" ht="15" thickBot="1" x14ac:dyDescent="0.4">
      <c r="B32" s="8" t="s">
        <v>6</v>
      </c>
      <c r="C32" s="11">
        <f>_xlfn.XLOOKUP(C27,coefficient!A:A,coefficient!B:B,"")</f>
        <v>1.29437</v>
      </c>
    </row>
    <row r="35" spans="2:8" x14ac:dyDescent="0.35">
      <c r="B35" s="5" t="s">
        <v>43</v>
      </c>
    </row>
    <row r="36" spans="2:8" x14ac:dyDescent="0.35">
      <c r="B36" s="5"/>
      <c r="C36" s="84"/>
    </row>
    <row r="37" spans="2:8" x14ac:dyDescent="0.35">
      <c r="B37" s="35" t="s">
        <v>15</v>
      </c>
      <c r="C37" s="36">
        <v>46127</v>
      </c>
      <c r="D37" s="36">
        <v>46492</v>
      </c>
      <c r="E37" s="36">
        <v>46858</v>
      </c>
      <c r="F37" s="36">
        <v>47223</v>
      </c>
      <c r="G37" s="37">
        <v>47588</v>
      </c>
    </row>
    <row r="38" spans="2:8" x14ac:dyDescent="0.35">
      <c r="B38" t="s">
        <v>13</v>
      </c>
      <c r="C38" s="2">
        <f>$C$24*$C$25</f>
        <v>0.5</v>
      </c>
      <c r="D38" s="2">
        <f t="shared" ref="D38:G38" si="0">$C$24*$C$25</f>
        <v>0.5</v>
      </c>
      <c r="E38" s="2">
        <f t="shared" si="0"/>
        <v>0.5</v>
      </c>
      <c r="F38" s="2">
        <f t="shared" si="0"/>
        <v>0.5</v>
      </c>
      <c r="G38" s="2">
        <f t="shared" si="0"/>
        <v>0.5</v>
      </c>
    </row>
    <row r="39" spans="2:8" x14ac:dyDescent="0.35">
      <c r="B39" t="s">
        <v>14</v>
      </c>
      <c r="G39" s="2">
        <f>C25</f>
        <v>100</v>
      </c>
    </row>
    <row r="40" spans="2:8" x14ac:dyDescent="0.35">
      <c r="B40" s="38" t="s">
        <v>21</v>
      </c>
      <c r="C40" s="39">
        <f>SUM(C38:C39)</f>
        <v>0.5</v>
      </c>
      <c r="D40" s="39">
        <f t="shared" ref="D40:G40" si="1">SUM(D38:D39)</f>
        <v>0.5</v>
      </c>
      <c r="E40" s="39">
        <f t="shared" si="1"/>
        <v>0.5</v>
      </c>
      <c r="F40" s="39">
        <f t="shared" si="1"/>
        <v>0.5</v>
      </c>
      <c r="G40" s="39">
        <f t="shared" si="1"/>
        <v>100.5</v>
      </c>
    </row>
    <row r="41" spans="2:8" outlineLevel="1" x14ac:dyDescent="0.35">
      <c r="B41" t="s">
        <v>23</v>
      </c>
      <c r="C41">
        <f>_xlfn.DAYS(C37,C27)</f>
        <v>23</v>
      </c>
      <c r="D41">
        <f>_xlfn.DAYS(D37,C37)</f>
        <v>365</v>
      </c>
      <c r="E41">
        <f>_xlfn.DAYS(E37,D37)</f>
        <v>366</v>
      </c>
      <c r="F41">
        <f>_xlfn.DAYS(F37,E37)</f>
        <v>365</v>
      </c>
      <c r="G41">
        <f>_xlfn.DAYS(G37,F37)</f>
        <v>365</v>
      </c>
    </row>
    <row r="42" spans="2:8" outlineLevel="1" x14ac:dyDescent="0.35">
      <c r="B42" t="s">
        <v>16</v>
      </c>
      <c r="C42">
        <f>C41/_xlfn.DAYS(C37,C28)</f>
        <v>6.3013698630136991E-2</v>
      </c>
      <c r="D42">
        <f>C42+D41/D41</f>
        <v>1.0630136986301371</v>
      </c>
      <c r="E42">
        <f>D42+E41/E41</f>
        <v>2.0630136986301371</v>
      </c>
      <c r="F42">
        <f t="shared" ref="F42:G42" si="2">E42+F41/F41</f>
        <v>3.0630136986301371</v>
      </c>
      <c r="G42">
        <f t="shared" si="2"/>
        <v>4.0630136986301366</v>
      </c>
    </row>
    <row r="43" spans="2:8" outlineLevel="1" x14ac:dyDescent="0.35">
      <c r="B43" t="s">
        <v>19</v>
      </c>
      <c r="C43">
        <f>1/(1+$C$23)^(C42)</f>
        <v>0.99996144815546861</v>
      </c>
      <c r="D43">
        <f>1/(1+$C$23)^(D42)</f>
        <v>0.99934984604968624</v>
      </c>
      <c r="E43">
        <f>1/(1+$C$23)^(E42)</f>
        <v>0.99873861801546082</v>
      </c>
      <c r="F43">
        <f>1/(1+$C$23)^(F42)</f>
        <v>0.99812776382400048</v>
      </c>
      <c r="G43">
        <f>1/(1+$C$23)^(G42)</f>
        <v>0.99751728324665334</v>
      </c>
    </row>
    <row r="44" spans="2:8" x14ac:dyDescent="0.35">
      <c r="B44" s="41" t="s">
        <v>20</v>
      </c>
      <c r="C44" s="42">
        <f>C40*C43</f>
        <v>0.49998072407773431</v>
      </c>
      <c r="D44" s="42">
        <f>D40*D43</f>
        <v>0.49967492302484312</v>
      </c>
      <c r="E44" s="42">
        <f>E40*E43</f>
        <v>0.49936930900773041</v>
      </c>
      <c r="F44" s="42">
        <f>F40*F43</f>
        <v>0.49906388191200024</v>
      </c>
      <c r="G44" s="42">
        <f>G40*G43</f>
        <v>100.25048696628866</v>
      </c>
      <c r="H44" s="2"/>
    </row>
    <row r="46" spans="2:8" x14ac:dyDescent="0.35">
      <c r="B46" s="45" t="s">
        <v>22</v>
      </c>
      <c r="C46" s="46">
        <f>SUM(C44:G44)</f>
        <v>102.24857580431097</v>
      </c>
    </row>
    <row r="47" spans="2:8" ht="15" thickBot="1" x14ac:dyDescent="0.4">
      <c r="B47" t="s">
        <v>44</v>
      </c>
      <c r="C47" s="44">
        <f>C25*C24*(C31/_xlfn.DAYS(EDATE(C28,12),C28))</f>
        <v>0.46849315068493153</v>
      </c>
    </row>
    <row r="48" spans="2:8" ht="15" thickTop="1" x14ac:dyDescent="0.35">
      <c r="B48" s="48" t="s">
        <v>5</v>
      </c>
      <c r="C48" s="47">
        <f>C46-C47</f>
        <v>101.78008265362604</v>
      </c>
    </row>
    <row r="50" spans="2:7" s="49" customFormat="1" x14ac:dyDescent="0.35"/>
    <row r="52" spans="2:7" x14ac:dyDescent="0.35">
      <c r="B52" s="5" t="s">
        <v>45</v>
      </c>
    </row>
    <row r="53" spans="2:7" x14ac:dyDescent="0.35">
      <c r="B53" s="5"/>
    </row>
    <row r="54" spans="2:7" x14ac:dyDescent="0.35">
      <c r="B54" s="35" t="s">
        <v>15</v>
      </c>
      <c r="C54" s="36">
        <v>46127</v>
      </c>
      <c r="D54" s="36">
        <v>46492</v>
      </c>
      <c r="E54" s="36">
        <v>46858</v>
      </c>
      <c r="F54" s="36">
        <v>47223</v>
      </c>
      <c r="G54" s="37">
        <v>47588</v>
      </c>
    </row>
    <row r="55" spans="2:7" x14ac:dyDescent="0.35">
      <c r="B55" t="s">
        <v>13</v>
      </c>
      <c r="C55" s="2">
        <f>$C$24*$C$25</f>
        <v>0.5</v>
      </c>
      <c r="D55" s="2">
        <f t="shared" ref="D55:G55" si="3">$C$24*$C$25</f>
        <v>0.5</v>
      </c>
      <c r="E55" s="2">
        <f t="shared" si="3"/>
        <v>0.5</v>
      </c>
      <c r="F55" s="2">
        <f t="shared" si="3"/>
        <v>0.5</v>
      </c>
      <c r="G55" s="2">
        <f t="shared" si="3"/>
        <v>0.5</v>
      </c>
    </row>
    <row r="56" spans="2:7" x14ac:dyDescent="0.35">
      <c r="B56" t="s">
        <v>14</v>
      </c>
      <c r="G56" s="2">
        <f>$C$25</f>
        <v>100</v>
      </c>
    </row>
    <row r="57" spans="2:7" x14ac:dyDescent="0.35">
      <c r="B57" s="38" t="s">
        <v>21</v>
      </c>
      <c r="C57" s="39">
        <f>SUM(C55:C56)*$C$32</f>
        <v>0.64718500000000001</v>
      </c>
      <c r="D57" s="39">
        <f t="shared" ref="D57:F57" si="4">SUM(D55:D56)*$C$32</f>
        <v>0.64718500000000001</v>
      </c>
      <c r="E57" s="39">
        <f t="shared" si="4"/>
        <v>0.64718500000000001</v>
      </c>
      <c r="F57" s="39">
        <f t="shared" si="4"/>
        <v>0.64718500000000001</v>
      </c>
      <c r="G57" s="39">
        <f>SUM(G55:G56)*$C$32</f>
        <v>130.08418499999999</v>
      </c>
    </row>
    <row r="58" spans="2:7" outlineLevel="1" x14ac:dyDescent="0.35">
      <c r="B58" t="s">
        <v>23</v>
      </c>
      <c r="C58">
        <f>_xlfn.DAYS(C54,C27)</f>
        <v>23</v>
      </c>
      <c r="D58">
        <f>_xlfn.DAYS(D54,C54)</f>
        <v>365</v>
      </c>
      <c r="E58">
        <f>_xlfn.DAYS(E54,D54)</f>
        <v>366</v>
      </c>
      <c r="F58">
        <f>_xlfn.DAYS(F54,E54)</f>
        <v>365</v>
      </c>
      <c r="G58">
        <f>_xlfn.DAYS(G54,F54)</f>
        <v>365</v>
      </c>
    </row>
    <row r="59" spans="2:7" outlineLevel="1" x14ac:dyDescent="0.35">
      <c r="B59" t="s">
        <v>16</v>
      </c>
      <c r="C59">
        <f>C58/_xlfn.DAYS(C54,C28)</f>
        <v>6.3013698630136991E-2</v>
      </c>
      <c r="D59">
        <f>C59+D58/D58</f>
        <v>1.0630136986301371</v>
      </c>
      <c r="E59">
        <f>D59+E58/E58</f>
        <v>2.0630136986301371</v>
      </c>
      <c r="F59">
        <f t="shared" ref="F59" si="5">E59+F58/F58</f>
        <v>3.0630136986301371</v>
      </c>
      <c r="G59">
        <f t="shared" ref="G59" si="6">F59+G58/G58</f>
        <v>4.0630136986301366</v>
      </c>
    </row>
    <row r="60" spans="2:7" outlineLevel="1" x14ac:dyDescent="0.35">
      <c r="B60" t="s">
        <v>19</v>
      </c>
      <c r="C60">
        <f>1/(1+$C$23)^(C59)</f>
        <v>0.99996144815546861</v>
      </c>
      <c r="D60">
        <f>1/(1+$C$23)^(D59)</f>
        <v>0.99934984604968624</v>
      </c>
      <c r="E60">
        <f>1/(1+$C$23)^(E59)</f>
        <v>0.99873861801546082</v>
      </c>
      <c r="F60">
        <f>1/(1+$C$23)^(F59)</f>
        <v>0.99812776382400048</v>
      </c>
      <c r="G60">
        <f>1/(1+$C$23)^(G59)</f>
        <v>0.99751728324665334</v>
      </c>
    </row>
    <row r="61" spans="2:7" x14ac:dyDescent="0.35">
      <c r="B61" s="41" t="s">
        <v>20</v>
      </c>
      <c r="C61" s="42">
        <f>C57*C60</f>
        <v>0.64716004982449693</v>
      </c>
      <c r="D61" s="42">
        <f>D57*D60</f>
        <v>0.64676423011566619</v>
      </c>
      <c r="E61" s="42">
        <f>E57*E60</f>
        <v>0.64636865250033604</v>
      </c>
      <c r="F61" s="42">
        <f>F57*F60</f>
        <v>0.6459733168304358</v>
      </c>
      <c r="G61" s="42">
        <f>G57*G60</f>
        <v>129.76122281455505</v>
      </c>
    </row>
    <row r="63" spans="2:7" x14ac:dyDescent="0.35">
      <c r="B63" s="45" t="s">
        <v>22</v>
      </c>
      <c r="C63" s="50">
        <f>SUM(C61:G61)</f>
        <v>132.347489063826</v>
      </c>
    </row>
    <row r="64" spans="2:7" ht="15" thickBot="1" x14ac:dyDescent="0.4">
      <c r="B64" t="s">
        <v>44</v>
      </c>
      <c r="C64" s="44">
        <f>C32*C25*C24*(C31/_xlfn.DAYS(EDATE(C28,12),C28))</f>
        <v>0.60640347945205497</v>
      </c>
    </row>
    <row r="65" spans="2:7" ht="15" thickTop="1" x14ac:dyDescent="0.35">
      <c r="B65" s="48" t="s">
        <v>5</v>
      </c>
      <c r="C65" s="47">
        <f>C63-C64</f>
        <v>131.74108558437396</v>
      </c>
    </row>
    <row r="67" spans="2:7" s="49" customFormat="1" x14ac:dyDescent="0.35"/>
    <row r="69" spans="2:7" ht="15" thickBot="1" x14ac:dyDescent="0.4">
      <c r="B69" s="5" t="s">
        <v>46</v>
      </c>
    </row>
    <row r="70" spans="2:7" x14ac:dyDescent="0.35">
      <c r="B70" s="6" t="s">
        <v>47</v>
      </c>
      <c r="C70" s="30">
        <f>_xlfn.DAYS(C29,C27)/_xlfn.DAYS(C29,C28)*C71</f>
        <v>1.2602739726027398E-3</v>
      </c>
    </row>
    <row r="71" spans="2:7" x14ac:dyDescent="0.35">
      <c r="B71" s="7" t="s">
        <v>48</v>
      </c>
      <c r="C71" s="31">
        <v>0.02</v>
      </c>
    </row>
    <row r="72" spans="2:7" ht="15" thickBot="1" x14ac:dyDescent="0.4">
      <c r="B72" s="8" t="s">
        <v>49</v>
      </c>
      <c r="C72" s="11">
        <f>_xlfn.XLOOKUP(C27,coefficient!A:A,coefficient!B:B,"")</f>
        <v>1.29437</v>
      </c>
    </row>
    <row r="73" spans="2:7" x14ac:dyDescent="0.35">
      <c r="B73" s="51"/>
      <c r="C73" s="52"/>
    </row>
    <row r="75" spans="2:7" x14ac:dyDescent="0.35">
      <c r="B75" s="5" t="s">
        <v>50</v>
      </c>
    </row>
    <row r="76" spans="2:7" x14ac:dyDescent="0.35">
      <c r="B76" s="5"/>
    </row>
    <row r="77" spans="2:7" x14ac:dyDescent="0.35">
      <c r="B77" s="35" t="s">
        <v>15</v>
      </c>
      <c r="C77" s="36">
        <v>46127</v>
      </c>
      <c r="D77" s="36">
        <v>46492</v>
      </c>
      <c r="E77" s="36">
        <v>46858</v>
      </c>
      <c r="F77" s="36">
        <v>47223</v>
      </c>
      <c r="G77" s="37">
        <v>47588</v>
      </c>
    </row>
    <row r="78" spans="2:7" x14ac:dyDescent="0.35">
      <c r="B78" t="s">
        <v>41</v>
      </c>
      <c r="C78" s="53">
        <f>C72*(1+$C$70)</f>
        <v>1.2960012608219178</v>
      </c>
      <c r="D78" s="53">
        <f>C78*(1+$C$71)</f>
        <v>1.3219212860383562</v>
      </c>
      <c r="E78" s="53">
        <f t="shared" ref="E78:G78" si="7">D78*(1+$C$71)</f>
        <v>1.3483597117591233</v>
      </c>
      <c r="F78" s="53">
        <f t="shared" si="7"/>
        <v>1.3753269059943058</v>
      </c>
      <c r="G78" s="53">
        <f t="shared" si="7"/>
        <v>1.4028334441141921</v>
      </c>
    </row>
    <row r="79" spans="2:7" x14ac:dyDescent="0.35">
      <c r="C79" s="53"/>
      <c r="D79" s="53"/>
      <c r="E79" s="53"/>
      <c r="F79" s="53"/>
      <c r="G79" s="53"/>
    </row>
    <row r="80" spans="2:7" x14ac:dyDescent="0.35">
      <c r="C80" s="53"/>
      <c r="D80" s="53"/>
      <c r="E80" s="53"/>
      <c r="F80" s="53"/>
      <c r="G80" s="53"/>
    </row>
    <row r="82" spans="2:7" x14ac:dyDescent="0.35">
      <c r="B82" s="5" t="s">
        <v>45</v>
      </c>
    </row>
    <row r="83" spans="2:7" x14ac:dyDescent="0.35">
      <c r="B83" s="5"/>
    </row>
    <row r="84" spans="2:7" x14ac:dyDescent="0.35">
      <c r="B84" s="35" t="s">
        <v>15</v>
      </c>
      <c r="C84" s="36">
        <v>46127</v>
      </c>
      <c r="D84" s="36">
        <v>46492</v>
      </c>
      <c r="E84" s="36">
        <v>46858</v>
      </c>
      <c r="F84" s="36">
        <v>47223</v>
      </c>
      <c r="G84" s="37">
        <v>47588</v>
      </c>
    </row>
    <row r="85" spans="2:7" x14ac:dyDescent="0.35">
      <c r="B85" t="s">
        <v>13</v>
      </c>
      <c r="C85" s="2">
        <f>$C$24*$C$25*C78</f>
        <v>0.6480006304109589</v>
      </c>
      <c r="D85" s="2">
        <f t="shared" ref="D85:G85" si="8">$C$24*$C$25*D78</f>
        <v>0.66096064301917812</v>
      </c>
      <c r="E85" s="2">
        <f t="shared" si="8"/>
        <v>0.67417985587956164</v>
      </c>
      <c r="F85" s="2">
        <f t="shared" si="8"/>
        <v>0.68766345299715292</v>
      </c>
      <c r="G85" s="2">
        <f t="shared" si="8"/>
        <v>0.70141672205709604</v>
      </c>
    </row>
    <row r="86" spans="2:7" x14ac:dyDescent="0.35">
      <c r="B86" t="s">
        <v>14</v>
      </c>
      <c r="G86" s="2">
        <f>$C$25*G78</f>
        <v>140.28334441141922</v>
      </c>
    </row>
    <row r="87" spans="2:7" x14ac:dyDescent="0.35">
      <c r="B87" s="54" t="s">
        <v>21</v>
      </c>
      <c r="C87" s="55">
        <f>SUM(C85:C86)*$C$32</f>
        <v>0.83875257598503283</v>
      </c>
      <c r="D87" s="55">
        <f t="shared" ref="D87" si="9">SUM(D85:D86)*$C$32</f>
        <v>0.85552762750473355</v>
      </c>
      <c r="E87" s="55">
        <f t="shared" ref="E87" si="10">SUM(E85:E86)*$C$32</f>
        <v>0.87263818005482818</v>
      </c>
      <c r="F87" s="55">
        <f t="shared" ref="F87" si="11">SUM(F85:F86)*$C$32</f>
        <v>0.89009094365592489</v>
      </c>
      <c r="G87" s="55">
        <f>SUM(G85:G86)*$C$32</f>
        <v>182.48644526833775</v>
      </c>
    </row>
  </sheetData>
  <pageMargins left="0.7" right="0.7" top="0.78740157499999996" bottom="0.78740157499999996"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11DB7-C947-4576-ADD8-947797A05BB7}">
  <sheetPr codeName="Sheet7">
    <tabColor theme="1"/>
  </sheetPr>
  <dimension ref="B14:H53"/>
  <sheetViews>
    <sheetView showGridLines="0" zoomScale="85" zoomScaleNormal="85" workbookViewId="0">
      <selection activeCell="H19" sqref="H19"/>
    </sheetView>
  </sheetViews>
  <sheetFormatPr defaultRowHeight="14.5" x14ac:dyDescent="0.35"/>
  <cols>
    <col min="1" max="1" width="1.54296875" customWidth="1"/>
    <col min="2" max="2" width="25.90625" customWidth="1"/>
    <col min="3" max="3" width="14.7265625" customWidth="1"/>
    <col min="7" max="7" width="25.26953125" customWidth="1"/>
    <col min="8" max="8" width="13" customWidth="1"/>
  </cols>
  <sheetData>
    <row r="14" spans="2:8" ht="15" thickBot="1" x14ac:dyDescent="0.4">
      <c r="B14" s="5" t="s">
        <v>103</v>
      </c>
      <c r="G14" s="5" t="s">
        <v>106</v>
      </c>
    </row>
    <row r="15" spans="2:8" x14ac:dyDescent="0.35">
      <c r="B15" s="6" t="s">
        <v>25</v>
      </c>
      <c r="C15" s="40" t="s">
        <v>107</v>
      </c>
      <c r="G15" s="6" t="s">
        <v>25</v>
      </c>
      <c r="H15" s="40" t="s">
        <v>7</v>
      </c>
    </row>
    <row r="16" spans="2:8" x14ac:dyDescent="0.35">
      <c r="B16" s="7" t="s">
        <v>104</v>
      </c>
      <c r="C16" s="58">
        <v>2.4000000000000001E-4</v>
      </c>
      <c r="G16" s="7" t="s">
        <v>2</v>
      </c>
      <c r="H16" s="32">
        <v>5.0000000000000001E-3</v>
      </c>
    </row>
    <row r="17" spans="2:8" x14ac:dyDescent="0.35">
      <c r="B17" s="18" t="s">
        <v>105</v>
      </c>
      <c r="C17" s="56">
        <v>2.6088E-2</v>
      </c>
      <c r="G17" s="18" t="s">
        <v>8</v>
      </c>
      <c r="H17" s="57">
        <v>6.1200000000000002E-4</v>
      </c>
    </row>
    <row r="18" spans="2:8" x14ac:dyDescent="0.35">
      <c r="B18" s="13" t="s">
        <v>109</v>
      </c>
      <c r="C18" s="16">
        <f ca="1">TODAY()</f>
        <v>46247</v>
      </c>
      <c r="G18" s="13" t="s">
        <v>109</v>
      </c>
      <c r="H18" s="16">
        <f ca="1">TODAY()</f>
        <v>46247</v>
      </c>
    </row>
    <row r="19" spans="2:8" x14ac:dyDescent="0.35">
      <c r="B19" s="13" t="s">
        <v>40</v>
      </c>
      <c r="C19" s="16">
        <v>47591</v>
      </c>
      <c r="G19" s="13" t="s">
        <v>40</v>
      </c>
      <c r="H19" s="16">
        <v>47588</v>
      </c>
    </row>
    <row r="20" spans="2:8" x14ac:dyDescent="0.35">
      <c r="B20" s="13" t="s">
        <v>110</v>
      </c>
      <c r="C20" s="10">
        <f ca="1">YEARFRAC(C19,C18,1)</f>
        <v>3.6801752464403066</v>
      </c>
      <c r="G20" s="13" t="s">
        <v>110</v>
      </c>
      <c r="H20" s="10">
        <f ca="1">YEARFRAC(H19,H18,1)</f>
        <v>3.6719605695509312</v>
      </c>
    </row>
    <row r="21" spans="2:8" ht="15" thickBot="1" x14ac:dyDescent="0.4">
      <c r="B21" s="8" t="s">
        <v>27</v>
      </c>
      <c r="C21" s="11" t="s">
        <v>28</v>
      </c>
      <c r="G21" s="8" t="s">
        <v>27</v>
      </c>
      <c r="H21" s="11" t="s">
        <v>28</v>
      </c>
    </row>
    <row r="26" spans="2:8" ht="15" thickBot="1" x14ac:dyDescent="0.4"/>
    <row r="27" spans="2:8" ht="15" thickBot="1" x14ac:dyDescent="0.4">
      <c r="D27" s="59" t="s">
        <v>108</v>
      </c>
      <c r="E27" s="60"/>
      <c r="F27" s="61"/>
    </row>
    <row r="28" spans="2:8" ht="15" thickBot="1" x14ac:dyDescent="0.4"/>
    <row r="29" spans="2:8" ht="15" thickBot="1" x14ac:dyDescent="0.4">
      <c r="D29" s="59" t="s">
        <v>111</v>
      </c>
      <c r="E29" s="60"/>
      <c r="F29" s="61"/>
    </row>
    <row r="35" spans="2:2" x14ac:dyDescent="0.35">
      <c r="B35" s="5"/>
    </row>
    <row r="53" spans="6:6" x14ac:dyDescent="0.35">
      <c r="F53" s="4"/>
    </row>
  </sheetData>
  <pageMargins left="0.7" right="0.7" top="0.78740157499999996" bottom="0.78740157499999996"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84A38-6752-4B30-8ECD-A85F6C15FDA0}">
  <sheetPr codeName="Sheet8">
    <tabColor theme="1"/>
  </sheetPr>
  <dimension ref="B14:H53"/>
  <sheetViews>
    <sheetView showGridLines="0" topLeftCell="A10" zoomScale="70" zoomScaleNormal="70" workbookViewId="0">
      <selection activeCell="T24" sqref="T24"/>
    </sheetView>
  </sheetViews>
  <sheetFormatPr defaultRowHeight="14.5" x14ac:dyDescent="0.35"/>
  <cols>
    <col min="1" max="1" width="1.54296875" customWidth="1"/>
    <col min="2" max="2" width="25.90625" customWidth="1"/>
    <col min="3" max="3" width="14.7265625" customWidth="1"/>
    <col min="7" max="7" width="25.26953125" customWidth="1"/>
    <col min="8" max="8" width="13" customWidth="1"/>
  </cols>
  <sheetData>
    <row r="14" spans="2:8" ht="15" thickBot="1" x14ac:dyDescent="0.4">
      <c r="B14" s="5" t="s">
        <v>103</v>
      </c>
      <c r="G14" s="5" t="s">
        <v>106</v>
      </c>
    </row>
    <row r="15" spans="2:8" x14ac:dyDescent="0.35">
      <c r="B15" s="6" t="s">
        <v>25</v>
      </c>
      <c r="C15" s="40" t="s">
        <v>107</v>
      </c>
      <c r="G15" s="6" t="s">
        <v>25</v>
      </c>
      <c r="H15" s="40" t="s">
        <v>7</v>
      </c>
    </row>
    <row r="16" spans="2:8" x14ac:dyDescent="0.35">
      <c r="B16" s="7" t="s">
        <v>104</v>
      </c>
      <c r="C16" s="58">
        <v>2.4000000000000001E-4</v>
      </c>
      <c r="G16" s="7" t="s">
        <v>2</v>
      </c>
      <c r="H16" s="32">
        <v>5.0000000000000001E-3</v>
      </c>
    </row>
    <row r="17" spans="2:8" x14ac:dyDescent="0.35">
      <c r="B17" s="18" t="s">
        <v>105</v>
      </c>
      <c r="C17" s="56">
        <v>2.6088E-2</v>
      </c>
      <c r="G17" s="18" t="s">
        <v>8</v>
      </c>
      <c r="H17" s="57">
        <v>6.1200000000000002E-4</v>
      </c>
    </row>
    <row r="18" spans="2:8" x14ac:dyDescent="0.35">
      <c r="B18" s="13" t="s">
        <v>109</v>
      </c>
      <c r="C18" s="16">
        <f ca="1">TODAY()</f>
        <v>46247</v>
      </c>
      <c r="G18" s="13" t="s">
        <v>109</v>
      </c>
      <c r="H18" s="16">
        <f ca="1">TODAY()</f>
        <v>46247</v>
      </c>
    </row>
    <row r="19" spans="2:8" x14ac:dyDescent="0.35">
      <c r="B19" s="13" t="s">
        <v>40</v>
      </c>
      <c r="C19" s="16">
        <v>47591</v>
      </c>
      <c r="G19" s="13" t="s">
        <v>40</v>
      </c>
      <c r="H19" s="16">
        <v>47588</v>
      </c>
    </row>
    <row r="20" spans="2:8" x14ac:dyDescent="0.35">
      <c r="B20" s="13" t="s">
        <v>110</v>
      </c>
      <c r="C20" s="10">
        <f ca="1">YEARFRAC(C19,C18,1)</f>
        <v>3.6801752464403066</v>
      </c>
      <c r="G20" s="13" t="s">
        <v>110</v>
      </c>
      <c r="H20" s="10">
        <f ca="1">YEARFRAC(H19,H18,1)</f>
        <v>3.6719605695509312</v>
      </c>
    </row>
    <row r="21" spans="2:8" ht="15" thickBot="1" x14ac:dyDescent="0.4">
      <c r="B21" s="8" t="s">
        <v>27</v>
      </c>
      <c r="C21" s="11" t="s">
        <v>28</v>
      </c>
      <c r="G21" s="8" t="s">
        <v>27</v>
      </c>
      <c r="H21" s="11" t="s">
        <v>28</v>
      </c>
    </row>
    <row r="26" spans="2:8" ht="15" thickBot="1" x14ac:dyDescent="0.4"/>
    <row r="27" spans="2:8" ht="15" thickBot="1" x14ac:dyDescent="0.4">
      <c r="D27" s="59" t="s">
        <v>108</v>
      </c>
      <c r="E27" s="60"/>
      <c r="F27" s="61">
        <f>(1+C17)/(1+H17)-1</f>
        <v>2.5460418224046988E-2</v>
      </c>
    </row>
    <row r="28" spans="2:8" ht="15" thickBot="1" x14ac:dyDescent="0.4"/>
    <row r="29" spans="2:8" ht="15" thickBot="1" x14ac:dyDescent="0.4">
      <c r="D29" s="59" t="s">
        <v>111</v>
      </c>
      <c r="E29" s="60"/>
      <c r="F29" s="61">
        <f>C17-H17</f>
        <v>2.5475999999999999E-2</v>
      </c>
    </row>
    <row r="35" spans="2:2" x14ac:dyDescent="0.35">
      <c r="B35" s="5" t="s">
        <v>38</v>
      </c>
    </row>
    <row r="53" spans="6:6" x14ac:dyDescent="0.35">
      <c r="F53" s="4"/>
    </row>
  </sheetData>
  <pageMargins left="0.7" right="0.7" top="0.78740157499999996" bottom="0.78740157499999996"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B22DC-EBE3-44E1-B30B-0B0BF4C349A6}">
  <sheetPr codeName="Sheet9">
    <tabColor theme="1"/>
  </sheetPr>
  <dimension ref="A6:J40"/>
  <sheetViews>
    <sheetView showGridLines="0" topLeftCell="A12" zoomScale="70" zoomScaleNormal="70" workbookViewId="0">
      <selection activeCell="I10" sqref="I10"/>
    </sheetView>
  </sheetViews>
  <sheetFormatPr defaultRowHeight="14.5" outlineLevelRow="1" x14ac:dyDescent="0.35"/>
  <cols>
    <col min="1" max="1" width="1.81640625" customWidth="1"/>
    <col min="2" max="2" width="34.453125" customWidth="1"/>
    <col min="3" max="3" width="14.453125" customWidth="1"/>
    <col min="4" max="5" width="10.1796875" customWidth="1"/>
    <col min="6" max="6" width="10.08984375" customWidth="1"/>
    <col min="7" max="10" width="10.1796875" customWidth="1"/>
  </cols>
  <sheetData>
    <row r="6" spans="1:3" x14ac:dyDescent="0.35">
      <c r="A6" s="1"/>
    </row>
    <row r="7" spans="1:3" x14ac:dyDescent="0.35">
      <c r="A7" s="1"/>
    </row>
    <row r="12" spans="1:3" ht="15" thickBot="1" x14ac:dyDescent="0.4">
      <c r="B12" s="5" t="s">
        <v>24</v>
      </c>
    </row>
    <row r="13" spans="1:3" x14ac:dyDescent="0.35">
      <c r="B13" s="6" t="s">
        <v>25</v>
      </c>
      <c r="C13" s="9" t="s">
        <v>97</v>
      </c>
    </row>
    <row r="14" spans="1:3" x14ac:dyDescent="0.35">
      <c r="B14" s="7" t="s">
        <v>26</v>
      </c>
      <c r="C14" s="10" t="s">
        <v>3</v>
      </c>
    </row>
    <row r="15" spans="1:3" ht="15" thickBot="1" x14ac:dyDescent="0.4">
      <c r="B15" s="8" t="s">
        <v>27</v>
      </c>
      <c r="C15" s="11" t="s">
        <v>28</v>
      </c>
    </row>
    <row r="17" spans="2:3" ht="15" thickBot="1" x14ac:dyDescent="0.4">
      <c r="B17" s="5" t="s">
        <v>29</v>
      </c>
    </row>
    <row r="18" spans="2:3" x14ac:dyDescent="0.35">
      <c r="B18" s="6" t="s">
        <v>8</v>
      </c>
      <c r="C18" s="40">
        <v>6.3379999999999999E-3</v>
      </c>
    </row>
    <row r="19" spans="2:3" x14ac:dyDescent="0.35">
      <c r="B19" s="7" t="s">
        <v>2</v>
      </c>
      <c r="C19" s="32">
        <v>1E-3</v>
      </c>
    </row>
    <row r="20" spans="2:3" x14ac:dyDescent="0.35">
      <c r="B20" s="18" t="s">
        <v>112</v>
      </c>
      <c r="C20" s="33">
        <v>10000</v>
      </c>
    </row>
    <row r="21" spans="2:3" x14ac:dyDescent="0.35">
      <c r="B21" s="13" t="s">
        <v>0</v>
      </c>
      <c r="C21" s="16">
        <v>46107</v>
      </c>
    </row>
    <row r="22" spans="2:3" x14ac:dyDescent="0.35">
      <c r="B22" s="7" t="s">
        <v>1</v>
      </c>
      <c r="C22" s="17">
        <f>IF(WEEKDAY(C21,2)=5,C21+3,IF(WEEKDAY(C21,2)=4,C21+4,C21+2))</f>
        <v>46111</v>
      </c>
    </row>
    <row r="23" spans="2:3" x14ac:dyDescent="0.35">
      <c r="B23" s="18" t="s">
        <v>17</v>
      </c>
      <c r="C23" s="34">
        <f>IF(DATE(YEAR(C22),4,15)&lt;=C22,DATE(YEAR(C22),4,15),DATE(YEAR(C22)-1,4,15))</f>
        <v>45762</v>
      </c>
    </row>
    <row r="24" spans="2:3" x14ac:dyDescent="0.35">
      <c r="B24" s="13" t="s">
        <v>18</v>
      </c>
      <c r="C24" s="17">
        <f>EDATE(C23,12)</f>
        <v>46127</v>
      </c>
    </row>
    <row r="25" spans="2:3" x14ac:dyDescent="0.35">
      <c r="B25" s="13" t="s">
        <v>40</v>
      </c>
      <c r="C25" s="17">
        <v>48684</v>
      </c>
    </row>
    <row r="26" spans="2:3" x14ac:dyDescent="0.35">
      <c r="B26" s="13" t="s">
        <v>42</v>
      </c>
      <c r="C26" s="43">
        <f>IF(EDATE(C23,12)=C22,0,_xlfn.DAYS(C22,C23))</f>
        <v>349</v>
      </c>
    </row>
    <row r="27" spans="2:3" ht="15" thickBot="1" x14ac:dyDescent="0.4">
      <c r="B27" s="8" t="s">
        <v>6</v>
      </c>
      <c r="C27" s="11">
        <f>_xlfn.XLOOKUP(C22,coefficient2!A:A,coefficient2!B:B,"")</f>
        <v>1.22681</v>
      </c>
    </row>
    <row r="31" spans="2:3" x14ac:dyDescent="0.35">
      <c r="B31" s="5" t="s">
        <v>45</v>
      </c>
    </row>
    <row r="33" spans="2:10" x14ac:dyDescent="0.35">
      <c r="B33" s="35" t="s">
        <v>15</v>
      </c>
      <c r="C33" s="36">
        <v>46127</v>
      </c>
      <c r="D33" s="36">
        <v>46492</v>
      </c>
      <c r="E33" s="36">
        <v>46858</v>
      </c>
      <c r="F33" s="36">
        <v>47223</v>
      </c>
      <c r="G33" s="36">
        <v>47588</v>
      </c>
      <c r="H33" s="36">
        <v>47953</v>
      </c>
      <c r="I33" s="36">
        <v>48319</v>
      </c>
      <c r="J33" s="37">
        <v>48684</v>
      </c>
    </row>
    <row r="34" spans="2:10" x14ac:dyDescent="0.35">
      <c r="B34" s="68" t="s">
        <v>21</v>
      </c>
      <c r="C34" s="69">
        <v>0</v>
      </c>
      <c r="D34" s="69">
        <v>0</v>
      </c>
      <c r="E34" s="69">
        <v>0</v>
      </c>
      <c r="F34" s="69">
        <v>0</v>
      </c>
      <c r="G34" s="69">
        <v>0</v>
      </c>
      <c r="H34" s="69">
        <v>0</v>
      </c>
      <c r="I34" s="69">
        <v>0</v>
      </c>
      <c r="J34" s="69">
        <f>C20</f>
        <v>10000</v>
      </c>
    </row>
    <row r="35" spans="2:10" outlineLevel="1" x14ac:dyDescent="0.35">
      <c r="B35" t="s">
        <v>23</v>
      </c>
    </row>
    <row r="36" spans="2:10" outlineLevel="1" x14ac:dyDescent="0.35">
      <c r="B36" t="s">
        <v>16</v>
      </c>
    </row>
    <row r="37" spans="2:10" outlineLevel="1" x14ac:dyDescent="0.35">
      <c r="B37" t="s">
        <v>19</v>
      </c>
    </row>
    <row r="38" spans="2:10" x14ac:dyDescent="0.35">
      <c r="B38" s="41" t="s">
        <v>20</v>
      </c>
      <c r="C38" s="42"/>
      <c r="D38" s="42"/>
      <c r="E38" s="42"/>
      <c r="F38" s="42"/>
      <c r="G38" s="42"/>
      <c r="H38" s="42"/>
      <c r="I38" s="42"/>
      <c r="J38" s="42"/>
    </row>
    <row r="39" spans="2:10" ht="15" thickBot="1" x14ac:dyDescent="0.4"/>
    <row r="40" spans="2:10" ht="15" thickTop="1" x14ac:dyDescent="0.35">
      <c r="B40" s="48" t="s">
        <v>22</v>
      </c>
      <c r="C40" s="47"/>
    </row>
  </sheetData>
  <pageMargins left="0.7" right="0.7" top="0.78740157499999996" bottom="0.78740157499999996"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BBF0E-8B8F-4C81-AF36-5FFD391007A7}">
  <sheetPr codeName="Sheet10">
    <tabColor theme="1"/>
  </sheetPr>
  <dimension ref="A6:J40"/>
  <sheetViews>
    <sheetView showGridLines="0" topLeftCell="A10" zoomScale="70" zoomScaleNormal="70" workbookViewId="0">
      <selection activeCell="C34" sqref="C34"/>
    </sheetView>
  </sheetViews>
  <sheetFormatPr defaultRowHeight="14.5" outlineLevelRow="1" x14ac:dyDescent="0.35"/>
  <cols>
    <col min="1" max="1" width="1.81640625" customWidth="1"/>
    <col min="2" max="2" width="34.453125" customWidth="1"/>
    <col min="3" max="3" width="14.453125" customWidth="1"/>
    <col min="4" max="5" width="10.1796875" customWidth="1"/>
    <col min="6" max="6" width="10.08984375" customWidth="1"/>
    <col min="7" max="10" width="10.1796875" customWidth="1"/>
  </cols>
  <sheetData>
    <row r="6" spans="1:3" x14ac:dyDescent="0.35">
      <c r="A6" s="1"/>
    </row>
    <row r="7" spans="1:3" x14ac:dyDescent="0.35">
      <c r="A7" s="1"/>
    </row>
    <row r="12" spans="1:3" ht="15" thickBot="1" x14ac:dyDescent="0.4">
      <c r="B12" s="5" t="s">
        <v>24</v>
      </c>
    </row>
    <row r="13" spans="1:3" x14ac:dyDescent="0.35">
      <c r="B13" s="6" t="s">
        <v>25</v>
      </c>
      <c r="C13" s="9" t="s">
        <v>97</v>
      </c>
    </row>
    <row r="14" spans="1:3" x14ac:dyDescent="0.35">
      <c r="B14" s="7" t="s">
        <v>26</v>
      </c>
      <c r="C14" s="10" t="s">
        <v>3</v>
      </c>
    </row>
    <row r="15" spans="1:3" ht="15" thickBot="1" x14ac:dyDescent="0.4">
      <c r="B15" s="8" t="s">
        <v>27</v>
      </c>
      <c r="C15" s="11" t="s">
        <v>28</v>
      </c>
    </row>
    <row r="17" spans="2:3" ht="15" thickBot="1" x14ac:dyDescent="0.4">
      <c r="B17" s="5" t="s">
        <v>29</v>
      </c>
    </row>
    <row r="18" spans="2:3" x14ac:dyDescent="0.35">
      <c r="B18" s="6" t="s">
        <v>8</v>
      </c>
      <c r="C18" s="40">
        <v>6.3379999999999999E-3</v>
      </c>
    </row>
    <row r="19" spans="2:3" x14ac:dyDescent="0.35">
      <c r="B19" s="7" t="s">
        <v>2</v>
      </c>
      <c r="C19" s="32">
        <v>1E-3</v>
      </c>
    </row>
    <row r="20" spans="2:3" x14ac:dyDescent="0.35">
      <c r="B20" s="18" t="s">
        <v>112</v>
      </c>
      <c r="C20" s="33">
        <v>10000</v>
      </c>
    </row>
    <row r="21" spans="2:3" x14ac:dyDescent="0.35">
      <c r="B21" s="13" t="s">
        <v>0</v>
      </c>
      <c r="C21" s="16">
        <v>46107</v>
      </c>
    </row>
    <row r="22" spans="2:3" x14ac:dyDescent="0.35">
      <c r="B22" s="7" t="s">
        <v>1</v>
      </c>
      <c r="C22" s="17">
        <f>IF(WEEKDAY(C21,2)=5,C21+3,IF(WEEKDAY(C21,2)=4,C21+4,C21+2))</f>
        <v>46111</v>
      </c>
    </row>
    <row r="23" spans="2:3" x14ac:dyDescent="0.35">
      <c r="B23" s="18" t="s">
        <v>17</v>
      </c>
      <c r="C23" s="34">
        <f>IF(DATE(YEAR(C22),4,15)&lt;=C22,DATE(YEAR(C22),4,15),DATE(YEAR(C22)-1,4,15))</f>
        <v>45762</v>
      </c>
    </row>
    <row r="24" spans="2:3" x14ac:dyDescent="0.35">
      <c r="B24" s="13" t="s">
        <v>18</v>
      </c>
      <c r="C24" s="17">
        <f>EDATE(C23,12)</f>
        <v>46127</v>
      </c>
    </row>
    <row r="25" spans="2:3" x14ac:dyDescent="0.35">
      <c r="B25" s="13" t="s">
        <v>40</v>
      </c>
      <c r="C25" s="17">
        <v>48684</v>
      </c>
    </row>
    <row r="26" spans="2:3" x14ac:dyDescent="0.35">
      <c r="B26" s="13" t="s">
        <v>42</v>
      </c>
      <c r="C26" s="43">
        <f>IF(EDATE(C23,12)=C22,0,_xlfn.DAYS(C22,C23))</f>
        <v>349</v>
      </c>
    </row>
    <row r="27" spans="2:3" ht="15" thickBot="1" x14ac:dyDescent="0.4">
      <c r="B27" s="8" t="s">
        <v>6</v>
      </c>
      <c r="C27" s="11">
        <f>_xlfn.XLOOKUP(C22,coefficient2!A:A,coefficient2!B:B,"")</f>
        <v>1.22681</v>
      </c>
    </row>
    <row r="31" spans="2:3" x14ac:dyDescent="0.35">
      <c r="B31" s="5" t="s">
        <v>45</v>
      </c>
    </row>
    <row r="33" spans="2:10" x14ac:dyDescent="0.35">
      <c r="B33" s="35" t="s">
        <v>15</v>
      </c>
      <c r="C33" s="36">
        <v>46127</v>
      </c>
      <c r="D33" s="36">
        <v>46492</v>
      </c>
      <c r="E33" s="36">
        <v>46858</v>
      </c>
      <c r="F33" s="36">
        <v>47223</v>
      </c>
      <c r="G33" s="36">
        <v>47588</v>
      </c>
      <c r="H33" s="36">
        <v>47953</v>
      </c>
      <c r="I33" s="36">
        <v>48319</v>
      </c>
      <c r="J33" s="37">
        <v>48684</v>
      </c>
    </row>
    <row r="34" spans="2:10" x14ac:dyDescent="0.35">
      <c r="B34" s="68" t="s">
        <v>21</v>
      </c>
      <c r="C34" s="69">
        <v>0</v>
      </c>
      <c r="D34" s="69">
        <v>0</v>
      </c>
      <c r="E34" s="69">
        <v>0</v>
      </c>
      <c r="F34" s="69">
        <v>0</v>
      </c>
      <c r="G34" s="69">
        <v>0</v>
      </c>
      <c r="H34" s="69">
        <v>0</v>
      </c>
      <c r="I34" s="69">
        <v>0</v>
      </c>
      <c r="J34" s="69">
        <f>C20</f>
        <v>10000</v>
      </c>
    </row>
    <row r="35" spans="2:10" outlineLevel="1" x14ac:dyDescent="0.35">
      <c r="B35" t="s">
        <v>23</v>
      </c>
      <c r="C35">
        <f>_xlfn.DAYS(C33,C22)</f>
        <v>16</v>
      </c>
      <c r="D35">
        <f>_xlfn.DAYS(D33,C33)</f>
        <v>365</v>
      </c>
      <c r="E35">
        <f>_xlfn.DAYS(E33,D33)</f>
        <v>366</v>
      </c>
      <c r="F35">
        <f>_xlfn.DAYS(F33,E33)</f>
        <v>365</v>
      </c>
      <c r="G35">
        <f>_xlfn.DAYS(G33,F33)</f>
        <v>365</v>
      </c>
      <c r="H35">
        <f t="shared" ref="H35:J35" si="0">_xlfn.DAYS(H33,G33)</f>
        <v>365</v>
      </c>
      <c r="I35">
        <f t="shared" si="0"/>
        <v>366</v>
      </c>
      <c r="J35">
        <f t="shared" si="0"/>
        <v>365</v>
      </c>
    </row>
    <row r="36" spans="2:10" outlineLevel="1" x14ac:dyDescent="0.35">
      <c r="B36" t="s">
        <v>16</v>
      </c>
      <c r="C36">
        <f>C35/_xlfn.DAYS(C33,C23)</f>
        <v>4.3835616438356165E-2</v>
      </c>
      <c r="D36">
        <f>C36+D35/D35</f>
        <v>1.0438356164383562</v>
      </c>
      <c r="E36">
        <f>D36+E35/E35</f>
        <v>2.043835616438356</v>
      </c>
      <c r="F36">
        <f t="shared" ref="F36:G36" si="1">E36+F35/F35</f>
        <v>3.043835616438356</v>
      </c>
      <c r="G36">
        <f t="shared" si="1"/>
        <v>4.043835616438356</v>
      </c>
      <c r="H36">
        <f t="shared" ref="H36" si="2">G36+H35/H35</f>
        <v>5.043835616438356</v>
      </c>
      <c r="I36">
        <f t="shared" ref="I36" si="3">H36+I35/I35</f>
        <v>6.043835616438356</v>
      </c>
      <c r="J36">
        <f t="shared" ref="J36" si="4">I36+J35/J35</f>
        <v>7.043835616438356</v>
      </c>
    </row>
    <row r="37" spans="2:10" outlineLevel="1" x14ac:dyDescent="0.35">
      <c r="B37" t="s">
        <v>19</v>
      </c>
      <c r="C37">
        <f>1/(1+$C$18)^(C36)</f>
        <v>0.99972308495219575</v>
      </c>
      <c r="D37">
        <f t="shared" ref="D37:I37" si="5">1/(1+$C$18)^(D36)</f>
        <v>0.99342674623456118</v>
      </c>
      <c r="E37">
        <f t="shared" si="5"/>
        <v>0.9871700623792018</v>
      </c>
      <c r="F37">
        <f t="shared" si="5"/>
        <v>0.98095278363651361</v>
      </c>
      <c r="G37">
        <f t="shared" si="5"/>
        <v>0.97477466182983608</v>
      </c>
      <c r="H37">
        <f t="shared" si="5"/>
        <v>0.9686354503455461</v>
      </c>
      <c r="I37">
        <f t="shared" si="5"/>
        <v>0.9625349041232133</v>
      </c>
      <c r="J37">
        <f>1/(1+$C$18)^(J36)</f>
        <v>0.95647277964581812</v>
      </c>
    </row>
    <row r="38" spans="2:10" x14ac:dyDescent="0.35">
      <c r="B38" s="41" t="s">
        <v>20</v>
      </c>
      <c r="C38" s="42">
        <f>C34*C37</f>
        <v>0</v>
      </c>
      <c r="D38" s="42">
        <f>D34*D37</f>
        <v>0</v>
      </c>
      <c r="E38" s="42">
        <f>E34*E37</f>
        <v>0</v>
      </c>
      <c r="F38" s="42">
        <f>F34*F37</f>
        <v>0</v>
      </c>
      <c r="G38" s="42">
        <f>G34*G37</f>
        <v>0</v>
      </c>
      <c r="H38" s="42">
        <f t="shared" ref="H38:I38" si="6">H34*H37</f>
        <v>0</v>
      </c>
      <c r="I38" s="42">
        <f t="shared" si="6"/>
        <v>0</v>
      </c>
      <c r="J38" s="42">
        <f>J34*J37</f>
        <v>9564.7277964581808</v>
      </c>
    </row>
    <row r="39" spans="2:10" ht="15" thickBot="1" x14ac:dyDescent="0.4"/>
    <row r="40" spans="2:10" ht="15" thickTop="1" x14ac:dyDescent="0.35">
      <c r="B40" s="48" t="s">
        <v>22</v>
      </c>
      <c r="C40" s="47">
        <f>SUM(C38:J38)</f>
        <v>9564.7277964581808</v>
      </c>
    </row>
  </sheetData>
  <pageMargins left="0.7" right="0.7" top="0.78740157499999996" bottom="0.78740157499999996"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400FC-08BE-48B5-BF31-6A905F650E04}">
  <sheetPr codeName="Sheet11"/>
  <dimension ref="A1:B63"/>
  <sheetViews>
    <sheetView topLeftCell="A7" workbookViewId="0">
      <selection activeCell="C34" sqref="C34"/>
    </sheetView>
  </sheetViews>
  <sheetFormatPr defaultRowHeight="14.5" x14ac:dyDescent="0.35"/>
  <cols>
    <col min="1" max="1" width="9.90625" bestFit="1" customWidth="1"/>
    <col min="2" max="2" width="12.1796875" customWidth="1"/>
  </cols>
  <sheetData>
    <row r="1" spans="1:2" x14ac:dyDescent="0.35">
      <c r="A1" t="s">
        <v>15</v>
      </c>
      <c r="B1" t="s">
        <v>32</v>
      </c>
    </row>
    <row r="2" spans="1:2" x14ac:dyDescent="0.35">
      <c r="A2" s="64">
        <v>46082</v>
      </c>
      <c r="B2" s="65">
        <v>1.23369</v>
      </c>
    </row>
    <row r="3" spans="1:2" x14ac:dyDescent="0.35">
      <c r="A3" s="64">
        <v>46083</v>
      </c>
      <c r="B3" s="65">
        <v>1.23346</v>
      </c>
    </row>
    <row r="4" spans="1:2" x14ac:dyDescent="0.35">
      <c r="A4" s="64">
        <v>46084</v>
      </c>
      <c r="B4" s="65">
        <v>1.23322</v>
      </c>
    </row>
    <row r="5" spans="1:2" x14ac:dyDescent="0.35">
      <c r="A5" s="64">
        <v>46085</v>
      </c>
      <c r="B5" s="65">
        <v>1.23298</v>
      </c>
    </row>
    <row r="6" spans="1:2" x14ac:dyDescent="0.35">
      <c r="A6" s="64">
        <v>46086</v>
      </c>
      <c r="B6" s="65">
        <v>1.2327399999999999</v>
      </c>
    </row>
    <row r="7" spans="1:2" x14ac:dyDescent="0.35">
      <c r="A7" s="64">
        <v>46087</v>
      </c>
      <c r="B7" s="65">
        <v>1.23251</v>
      </c>
    </row>
    <row r="8" spans="1:2" x14ac:dyDescent="0.35">
      <c r="A8" s="64">
        <v>46088</v>
      </c>
      <c r="B8" s="65">
        <v>1.23227</v>
      </c>
    </row>
    <row r="9" spans="1:2" x14ac:dyDescent="0.35">
      <c r="A9" s="64">
        <v>46089</v>
      </c>
      <c r="B9" s="65">
        <v>1.23203</v>
      </c>
    </row>
    <row r="10" spans="1:2" x14ac:dyDescent="0.35">
      <c r="A10" s="64">
        <v>46090</v>
      </c>
      <c r="B10" s="65">
        <v>1.2317899999999999</v>
      </c>
    </row>
    <row r="11" spans="1:2" x14ac:dyDescent="0.35">
      <c r="A11" s="64">
        <v>46091</v>
      </c>
      <c r="B11" s="65">
        <v>1.23156</v>
      </c>
    </row>
    <row r="12" spans="1:2" x14ac:dyDescent="0.35">
      <c r="A12" s="64">
        <v>46092</v>
      </c>
      <c r="B12" s="65">
        <v>1.23132</v>
      </c>
    </row>
    <row r="13" spans="1:2" x14ac:dyDescent="0.35">
      <c r="A13" s="64">
        <v>46093</v>
      </c>
      <c r="B13" s="65">
        <v>1.23108</v>
      </c>
    </row>
    <row r="14" spans="1:2" x14ac:dyDescent="0.35">
      <c r="A14" s="64">
        <v>46094</v>
      </c>
      <c r="B14" s="65">
        <v>1.2308399999999999</v>
      </c>
    </row>
    <row r="15" spans="1:2" x14ac:dyDescent="0.35">
      <c r="A15" s="64">
        <v>46095</v>
      </c>
      <c r="B15" s="65">
        <v>1.23061</v>
      </c>
    </row>
    <row r="16" spans="1:2" x14ac:dyDescent="0.35">
      <c r="A16" s="64">
        <v>46096</v>
      </c>
      <c r="B16" s="65">
        <v>1.23037</v>
      </c>
    </row>
    <row r="17" spans="1:2" x14ac:dyDescent="0.35">
      <c r="A17" s="64">
        <v>46097</v>
      </c>
      <c r="B17" s="65">
        <v>1.2301299999999999</v>
      </c>
    </row>
    <row r="18" spans="1:2" x14ac:dyDescent="0.35">
      <c r="A18" s="64">
        <v>46098</v>
      </c>
      <c r="B18" s="65">
        <v>1.2298899999999999</v>
      </c>
    </row>
    <row r="19" spans="1:2" x14ac:dyDescent="0.35">
      <c r="A19" s="64">
        <v>46099</v>
      </c>
      <c r="B19" s="65">
        <v>1.22966</v>
      </c>
    </row>
    <row r="20" spans="1:2" x14ac:dyDescent="0.35">
      <c r="A20" s="64">
        <v>46100</v>
      </c>
      <c r="B20" s="65">
        <v>1.22942</v>
      </c>
    </row>
    <row r="21" spans="1:2" x14ac:dyDescent="0.35">
      <c r="A21" s="64">
        <v>46101</v>
      </c>
      <c r="B21" s="65">
        <v>1.2291799999999999</v>
      </c>
    </row>
    <row r="22" spans="1:2" x14ac:dyDescent="0.35">
      <c r="A22" s="64">
        <v>46102</v>
      </c>
      <c r="B22" s="65">
        <v>1.22895</v>
      </c>
    </row>
    <row r="23" spans="1:2" x14ac:dyDescent="0.35">
      <c r="A23" s="64">
        <v>46103</v>
      </c>
      <c r="B23" s="65">
        <v>1.22871</v>
      </c>
    </row>
    <row r="24" spans="1:2" x14ac:dyDescent="0.35">
      <c r="A24" s="64">
        <v>46104</v>
      </c>
      <c r="B24" s="65">
        <v>1.22847</v>
      </c>
    </row>
    <row r="25" spans="1:2" x14ac:dyDescent="0.35">
      <c r="A25" s="64">
        <v>46105</v>
      </c>
      <c r="B25" s="65">
        <v>1.2282299999999999</v>
      </c>
    </row>
    <row r="26" spans="1:2" x14ac:dyDescent="0.35">
      <c r="A26" s="64">
        <v>46106</v>
      </c>
      <c r="B26" s="65">
        <v>1.228</v>
      </c>
    </row>
    <row r="27" spans="1:2" x14ac:dyDescent="0.35">
      <c r="A27" s="64">
        <v>46107</v>
      </c>
      <c r="B27" s="65">
        <v>1.22776</v>
      </c>
    </row>
    <row r="28" spans="1:2" x14ac:dyDescent="0.35">
      <c r="A28" s="64">
        <v>46108</v>
      </c>
      <c r="B28" s="65">
        <v>1.2275199999999999</v>
      </c>
    </row>
    <row r="29" spans="1:2" x14ac:dyDescent="0.35">
      <c r="A29" s="64">
        <v>46109</v>
      </c>
      <c r="B29" s="65">
        <v>1.2272799999999999</v>
      </c>
    </row>
    <row r="30" spans="1:2" x14ac:dyDescent="0.35">
      <c r="A30" s="64">
        <v>46110</v>
      </c>
      <c r="B30" s="65">
        <v>1.22705</v>
      </c>
    </row>
    <row r="31" spans="1:2" x14ac:dyDescent="0.35">
      <c r="A31" s="64">
        <v>46111</v>
      </c>
      <c r="B31" s="65">
        <v>1.22681</v>
      </c>
    </row>
    <row r="32" spans="1:2" x14ac:dyDescent="0.35">
      <c r="A32" s="64">
        <v>46112</v>
      </c>
      <c r="B32" s="65">
        <v>1.2265699999999999</v>
      </c>
    </row>
    <row r="33" spans="1:2" x14ac:dyDescent="0.35">
      <c r="A33" s="64">
        <v>46113</v>
      </c>
      <c r="B33" s="65">
        <v>1.22634</v>
      </c>
    </row>
    <row r="34" spans="1:2" x14ac:dyDescent="0.35">
      <c r="A34" s="64">
        <v>46114</v>
      </c>
      <c r="B34" s="65">
        <v>1.2265999999999999</v>
      </c>
    </row>
    <row r="35" spans="1:2" x14ac:dyDescent="0.35">
      <c r="A35" s="64">
        <v>46115</v>
      </c>
      <c r="B35" s="65">
        <v>1.2268699999999999</v>
      </c>
    </row>
    <row r="36" spans="1:2" x14ac:dyDescent="0.35">
      <c r="A36" s="64">
        <v>46116</v>
      </c>
      <c r="B36" s="65">
        <v>1.2271300000000001</v>
      </c>
    </row>
    <row r="37" spans="1:2" x14ac:dyDescent="0.35">
      <c r="A37" s="64">
        <v>46117</v>
      </c>
      <c r="B37" s="65">
        <v>1.2274</v>
      </c>
    </row>
    <row r="38" spans="1:2" x14ac:dyDescent="0.35">
      <c r="A38" s="64">
        <v>46118</v>
      </c>
      <c r="B38" s="65">
        <v>1.22766</v>
      </c>
    </row>
    <row r="39" spans="1:2" x14ac:dyDescent="0.35">
      <c r="A39" s="64">
        <v>46119</v>
      </c>
      <c r="B39" s="65">
        <v>1.22793</v>
      </c>
    </row>
    <row r="40" spans="1:2" x14ac:dyDescent="0.35">
      <c r="A40" s="64">
        <v>46120</v>
      </c>
      <c r="B40" s="65">
        <v>1.2281899999999999</v>
      </c>
    </row>
    <row r="41" spans="1:2" x14ac:dyDescent="0.35">
      <c r="A41" s="64">
        <v>46121</v>
      </c>
      <c r="B41" s="65">
        <v>1.2284600000000001</v>
      </c>
    </row>
    <row r="42" spans="1:2" x14ac:dyDescent="0.35">
      <c r="A42" s="64">
        <v>46122</v>
      </c>
      <c r="B42" s="65">
        <v>1.2287300000000001</v>
      </c>
    </row>
    <row r="43" spans="1:2" x14ac:dyDescent="0.35">
      <c r="A43" s="64">
        <v>46123</v>
      </c>
      <c r="B43" s="65">
        <v>1.22899</v>
      </c>
    </row>
    <row r="44" spans="1:2" x14ac:dyDescent="0.35">
      <c r="A44" s="64">
        <v>46124</v>
      </c>
      <c r="B44" s="65">
        <v>1.22926</v>
      </c>
    </row>
    <row r="45" spans="1:2" x14ac:dyDescent="0.35">
      <c r="A45" s="64">
        <v>46125</v>
      </c>
      <c r="B45" s="65">
        <v>1.2295199999999999</v>
      </c>
    </row>
    <row r="46" spans="1:2" x14ac:dyDescent="0.35">
      <c r="A46" s="64">
        <v>46126</v>
      </c>
      <c r="B46" s="65">
        <v>1.2297899999999999</v>
      </c>
    </row>
    <row r="47" spans="1:2" x14ac:dyDescent="0.35">
      <c r="A47" s="64">
        <v>46127</v>
      </c>
      <c r="B47" s="65">
        <v>1.2300500000000001</v>
      </c>
    </row>
    <row r="48" spans="1:2" x14ac:dyDescent="0.35">
      <c r="A48" s="64">
        <v>46128</v>
      </c>
      <c r="B48" s="65">
        <v>1.2303200000000001</v>
      </c>
    </row>
    <row r="49" spans="1:2" x14ac:dyDescent="0.35">
      <c r="A49" s="64">
        <v>46129</v>
      </c>
      <c r="B49" s="65">
        <v>1.2305900000000001</v>
      </c>
    </row>
    <row r="50" spans="1:2" x14ac:dyDescent="0.35">
      <c r="A50" s="64">
        <v>46130</v>
      </c>
      <c r="B50" s="65">
        <v>1.23085</v>
      </c>
    </row>
    <row r="51" spans="1:2" x14ac:dyDescent="0.35">
      <c r="A51" s="64">
        <v>46131</v>
      </c>
      <c r="B51" s="65">
        <v>1.23112</v>
      </c>
    </row>
    <row r="52" spans="1:2" x14ac:dyDescent="0.35">
      <c r="A52" s="64">
        <v>46132</v>
      </c>
      <c r="B52" s="65">
        <v>1.2313799999999999</v>
      </c>
    </row>
    <row r="53" spans="1:2" x14ac:dyDescent="0.35">
      <c r="A53" s="64">
        <v>46133</v>
      </c>
      <c r="B53" s="65">
        <v>1.2316499999999999</v>
      </c>
    </row>
    <row r="54" spans="1:2" x14ac:dyDescent="0.35">
      <c r="A54" s="64">
        <v>46134</v>
      </c>
      <c r="B54" s="65">
        <v>1.2319100000000001</v>
      </c>
    </row>
    <row r="55" spans="1:2" x14ac:dyDescent="0.35">
      <c r="A55" s="64">
        <v>46135</v>
      </c>
      <c r="B55" s="65">
        <v>1.2321800000000001</v>
      </c>
    </row>
    <row r="56" spans="1:2" x14ac:dyDescent="0.35">
      <c r="A56" s="64">
        <v>46136</v>
      </c>
      <c r="B56" s="65">
        <v>1.23245</v>
      </c>
    </row>
    <row r="57" spans="1:2" x14ac:dyDescent="0.35">
      <c r="A57" s="64">
        <v>46137</v>
      </c>
      <c r="B57" s="65">
        <v>1.23271</v>
      </c>
    </row>
    <row r="58" spans="1:2" x14ac:dyDescent="0.35">
      <c r="A58" s="64">
        <v>46138</v>
      </c>
      <c r="B58" s="65">
        <v>1.23298</v>
      </c>
    </row>
    <row r="59" spans="1:2" x14ac:dyDescent="0.35">
      <c r="A59" s="64">
        <v>46139</v>
      </c>
      <c r="B59" s="65">
        <v>1.2332399999999999</v>
      </c>
    </row>
    <row r="60" spans="1:2" x14ac:dyDescent="0.35">
      <c r="A60" s="64">
        <v>46140</v>
      </c>
      <c r="B60" s="65">
        <v>1.2335100000000001</v>
      </c>
    </row>
    <row r="61" spans="1:2" x14ac:dyDescent="0.35">
      <c r="A61" s="64">
        <v>46141</v>
      </c>
      <c r="B61" s="65">
        <v>1.23377</v>
      </c>
    </row>
    <row r="62" spans="1:2" x14ac:dyDescent="0.35">
      <c r="A62" s="64">
        <v>46142</v>
      </c>
      <c r="B62" s="65">
        <v>1.23404</v>
      </c>
    </row>
    <row r="63" spans="1:2" x14ac:dyDescent="0.35">
      <c r="A63" s="66">
        <v>46143</v>
      </c>
      <c r="B63" s="67">
        <v>1.23431</v>
      </c>
    </row>
  </sheetData>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846A1-AEB1-45BA-B14A-9E19DDF6973B}">
  <sheetPr codeName="Sheet12">
    <tabColor rgb="FFC00000"/>
  </sheetPr>
  <dimension ref="A1"/>
  <sheetViews>
    <sheetView showGridLines="0" topLeftCell="A10" workbookViewId="0"/>
  </sheetViews>
  <sheetFormatPr defaultRowHeight="14.5" x14ac:dyDescent="0.35"/>
  <cols>
    <col min="1" max="1" width="2.54296875" customWidth="1"/>
  </cols>
  <sheetData/>
  <pageMargins left="0.7" right="0.7" top="0.78740157499999996" bottom="0.78740157499999996"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BE943-538E-4189-9E01-6CAA7F68C4D6}">
  <sheetPr codeName="Sheet13"/>
  <dimension ref="A1:F40"/>
  <sheetViews>
    <sheetView workbookViewId="0">
      <selection activeCell="A6" sqref="A6"/>
    </sheetView>
  </sheetViews>
  <sheetFormatPr defaultRowHeight="14.5" x14ac:dyDescent="0.35"/>
  <cols>
    <col min="1" max="1" width="13.6328125" bestFit="1" customWidth="1"/>
    <col min="3" max="3" width="13.54296875" bestFit="1" customWidth="1"/>
    <col min="4" max="4" width="15.36328125" customWidth="1"/>
    <col min="5" max="5" width="11.90625" customWidth="1"/>
  </cols>
  <sheetData>
    <row r="1" spans="1:6" x14ac:dyDescent="0.35">
      <c r="A1" t="s">
        <v>25</v>
      </c>
      <c r="B1" s="72" t="s">
        <v>51</v>
      </c>
      <c r="C1" s="73" t="s">
        <v>11</v>
      </c>
      <c r="D1" s="73" t="s">
        <v>76</v>
      </c>
      <c r="E1" s="73" t="s">
        <v>77</v>
      </c>
      <c r="F1" s="73" t="s">
        <v>100</v>
      </c>
    </row>
    <row r="2" spans="1:6" x14ac:dyDescent="0.35">
      <c r="A2" t="s">
        <v>52</v>
      </c>
      <c r="B2" s="74" t="s">
        <v>53</v>
      </c>
      <c r="C2" s="75">
        <v>46721</v>
      </c>
      <c r="D2" s="76" t="s">
        <v>79</v>
      </c>
      <c r="E2" s="76" t="s">
        <v>78</v>
      </c>
      <c r="F2" s="76" t="s">
        <v>102</v>
      </c>
    </row>
    <row r="3" spans="1:6" x14ac:dyDescent="0.35">
      <c r="A3" t="s">
        <v>54</v>
      </c>
      <c r="B3" s="77" t="s">
        <v>53</v>
      </c>
      <c r="C3" s="78">
        <v>47817</v>
      </c>
      <c r="D3" s="79" t="s">
        <v>79</v>
      </c>
      <c r="E3" s="79" t="s">
        <v>78</v>
      </c>
      <c r="F3" s="79" t="s">
        <v>102</v>
      </c>
    </row>
    <row r="4" spans="1:6" x14ac:dyDescent="0.35">
      <c r="A4" t="s">
        <v>55</v>
      </c>
      <c r="B4" s="74" t="s">
        <v>53</v>
      </c>
      <c r="C4" s="75">
        <v>48913</v>
      </c>
      <c r="D4" s="76" t="s">
        <v>79</v>
      </c>
      <c r="E4" s="76" t="s">
        <v>78</v>
      </c>
      <c r="F4" s="76" t="s">
        <v>102</v>
      </c>
    </row>
    <row r="5" spans="1:6" x14ac:dyDescent="0.35">
      <c r="A5" t="s">
        <v>56</v>
      </c>
      <c r="B5" s="77" t="s">
        <v>53</v>
      </c>
      <c r="C5" s="78">
        <v>50009</v>
      </c>
      <c r="D5" s="79" t="s">
        <v>79</v>
      </c>
      <c r="E5" s="79" t="s">
        <v>78</v>
      </c>
      <c r="F5" s="79" t="s">
        <v>102</v>
      </c>
    </row>
    <row r="6" spans="1:6" x14ac:dyDescent="0.35">
      <c r="A6" t="s">
        <v>57</v>
      </c>
      <c r="B6" s="74" t="s">
        <v>53</v>
      </c>
      <c r="C6" s="75">
        <v>51104</v>
      </c>
      <c r="D6" s="76" t="s">
        <v>79</v>
      </c>
      <c r="E6" s="76" t="s">
        <v>78</v>
      </c>
      <c r="F6" s="76" t="s">
        <v>102</v>
      </c>
    </row>
    <row r="7" spans="1:6" x14ac:dyDescent="0.35">
      <c r="A7" t="s">
        <v>58</v>
      </c>
      <c r="B7" s="77" t="s">
        <v>53</v>
      </c>
      <c r="C7" s="78">
        <v>54392</v>
      </c>
      <c r="D7" s="79" t="s">
        <v>79</v>
      </c>
      <c r="E7" s="79" t="s">
        <v>78</v>
      </c>
      <c r="F7" s="79" t="s">
        <v>101</v>
      </c>
    </row>
    <row r="8" spans="1:6" x14ac:dyDescent="0.35">
      <c r="A8" t="s">
        <v>59</v>
      </c>
      <c r="B8" s="74" t="s">
        <v>53</v>
      </c>
      <c r="C8" s="75">
        <v>54757</v>
      </c>
      <c r="D8" s="76" t="s">
        <v>79</v>
      </c>
      <c r="E8" s="76" t="s">
        <v>78</v>
      </c>
      <c r="F8" s="76" t="s">
        <v>101</v>
      </c>
    </row>
    <row r="9" spans="1:6" x14ac:dyDescent="0.35">
      <c r="A9" t="s">
        <v>60</v>
      </c>
      <c r="B9" s="77" t="s">
        <v>53</v>
      </c>
      <c r="C9" s="78">
        <v>55122</v>
      </c>
      <c r="D9" s="79" t="s">
        <v>79</v>
      </c>
      <c r="E9" s="79" t="s">
        <v>78</v>
      </c>
      <c r="F9" s="79" t="s">
        <v>101</v>
      </c>
    </row>
    <row r="10" spans="1:6" hidden="1" x14ac:dyDescent="0.35">
      <c r="A10" t="s">
        <v>61</v>
      </c>
      <c r="B10" s="74" t="s">
        <v>75</v>
      </c>
      <c r="C10" s="75">
        <v>48075</v>
      </c>
      <c r="D10" s="76" t="s">
        <v>81</v>
      </c>
      <c r="E10" s="76" t="s">
        <v>80</v>
      </c>
      <c r="F10" s="76" t="s">
        <v>101</v>
      </c>
    </row>
    <row r="11" spans="1:6" hidden="1" x14ac:dyDescent="0.35">
      <c r="A11" t="s">
        <v>62</v>
      </c>
      <c r="B11" s="77" t="s">
        <v>75</v>
      </c>
      <c r="C11" s="78">
        <v>57115</v>
      </c>
      <c r="D11" s="79" t="s">
        <v>81</v>
      </c>
      <c r="E11" s="79" t="s">
        <v>80</v>
      </c>
      <c r="F11" s="79" t="s">
        <v>101</v>
      </c>
    </row>
    <row r="12" spans="1:6" hidden="1" x14ac:dyDescent="0.35">
      <c r="A12" t="s">
        <v>63</v>
      </c>
      <c r="B12" s="74" t="s">
        <v>75</v>
      </c>
      <c r="C12" s="75">
        <v>49810</v>
      </c>
      <c r="D12" s="76" t="s">
        <v>81</v>
      </c>
      <c r="E12" s="76" t="s">
        <v>80</v>
      </c>
      <c r="F12" s="76" t="s">
        <v>101</v>
      </c>
    </row>
    <row r="13" spans="1:6" hidden="1" x14ac:dyDescent="0.35">
      <c r="A13" t="s">
        <v>64</v>
      </c>
      <c r="B13" s="77" t="s">
        <v>75</v>
      </c>
      <c r="C13" s="78">
        <v>50905</v>
      </c>
      <c r="D13" s="79" t="s">
        <v>81</v>
      </c>
      <c r="E13" s="79" t="s">
        <v>80</v>
      </c>
      <c r="F13" s="79" t="s">
        <v>101</v>
      </c>
    </row>
    <row r="14" spans="1:6" hidden="1" x14ac:dyDescent="0.35">
      <c r="A14" t="s">
        <v>65</v>
      </c>
      <c r="B14" s="74" t="s">
        <v>75</v>
      </c>
      <c r="C14" s="75">
        <v>47253</v>
      </c>
      <c r="D14" s="76" t="s">
        <v>81</v>
      </c>
      <c r="E14" s="76" t="s">
        <v>80</v>
      </c>
      <c r="F14" s="76" t="s">
        <v>101</v>
      </c>
    </row>
    <row r="15" spans="1:6" hidden="1" x14ac:dyDescent="0.35">
      <c r="A15" t="s">
        <v>66</v>
      </c>
      <c r="B15" s="77" t="s">
        <v>75</v>
      </c>
      <c r="C15" s="78">
        <v>48714</v>
      </c>
      <c r="D15" s="79" t="s">
        <v>81</v>
      </c>
      <c r="E15" s="79" t="s">
        <v>80</v>
      </c>
      <c r="F15" s="79" t="s">
        <v>101</v>
      </c>
    </row>
    <row r="16" spans="1:6" hidden="1" x14ac:dyDescent="0.35">
      <c r="A16" t="s">
        <v>67</v>
      </c>
      <c r="B16" s="74" t="s">
        <v>75</v>
      </c>
      <c r="C16" s="75">
        <v>55288</v>
      </c>
      <c r="D16" s="76" t="s">
        <v>81</v>
      </c>
      <c r="E16" s="76" t="s">
        <v>80</v>
      </c>
      <c r="F16" s="76" t="s">
        <v>101</v>
      </c>
    </row>
    <row r="17" spans="1:6" hidden="1" x14ac:dyDescent="0.35">
      <c r="A17" t="s">
        <v>68</v>
      </c>
      <c r="B17" s="77" t="s">
        <v>75</v>
      </c>
      <c r="C17" s="78">
        <v>46157</v>
      </c>
      <c r="D17" s="79" t="s">
        <v>81</v>
      </c>
      <c r="E17" s="79" t="s">
        <v>80</v>
      </c>
      <c r="F17" s="79" t="s">
        <v>101</v>
      </c>
    </row>
    <row r="18" spans="1:6" hidden="1" x14ac:dyDescent="0.35">
      <c r="A18" t="s">
        <v>69</v>
      </c>
      <c r="B18" s="74" t="s">
        <v>75</v>
      </c>
      <c r="C18" s="75">
        <v>47618</v>
      </c>
      <c r="D18" s="76" t="s">
        <v>81</v>
      </c>
      <c r="E18" s="76" t="s">
        <v>80</v>
      </c>
      <c r="F18" s="76" t="s">
        <v>101</v>
      </c>
    </row>
    <row r="19" spans="1:6" hidden="1" x14ac:dyDescent="0.35">
      <c r="A19" t="s">
        <v>70</v>
      </c>
      <c r="B19" s="77" t="s">
        <v>75</v>
      </c>
      <c r="C19" s="78">
        <v>46888</v>
      </c>
      <c r="D19" s="79" t="s">
        <v>81</v>
      </c>
      <c r="E19" s="79" t="s">
        <v>80</v>
      </c>
      <c r="F19" s="79" t="s">
        <v>101</v>
      </c>
    </row>
    <row r="20" spans="1:6" hidden="1" x14ac:dyDescent="0.35">
      <c r="A20" t="s">
        <v>71</v>
      </c>
      <c r="B20" s="74" t="s">
        <v>75</v>
      </c>
      <c r="C20" s="75">
        <v>48472</v>
      </c>
      <c r="D20" s="76" t="s">
        <v>81</v>
      </c>
      <c r="E20" s="76" t="s">
        <v>80</v>
      </c>
      <c r="F20" s="76" t="s">
        <v>101</v>
      </c>
    </row>
    <row r="21" spans="1:6" hidden="1" x14ac:dyDescent="0.35">
      <c r="A21" t="s">
        <v>72</v>
      </c>
      <c r="B21" s="77" t="s">
        <v>75</v>
      </c>
      <c r="C21" s="78">
        <v>46280</v>
      </c>
      <c r="D21" s="79" t="s">
        <v>81</v>
      </c>
      <c r="E21" s="79" t="s">
        <v>80</v>
      </c>
      <c r="F21" s="79" t="s">
        <v>101</v>
      </c>
    </row>
    <row r="22" spans="1:6" hidden="1" x14ac:dyDescent="0.35">
      <c r="A22" t="s">
        <v>73</v>
      </c>
      <c r="B22" s="74" t="s">
        <v>75</v>
      </c>
      <c r="C22" s="75">
        <v>51759</v>
      </c>
      <c r="D22" s="76" t="s">
        <v>81</v>
      </c>
      <c r="E22" s="76" t="s">
        <v>80</v>
      </c>
      <c r="F22" s="76" t="s">
        <v>101</v>
      </c>
    </row>
    <row r="23" spans="1:6" hidden="1" x14ac:dyDescent="0.35">
      <c r="A23" t="s">
        <v>74</v>
      </c>
      <c r="B23" s="77" t="s">
        <v>75</v>
      </c>
      <c r="C23" s="78">
        <v>49567</v>
      </c>
      <c r="D23" s="79" t="s">
        <v>81</v>
      </c>
      <c r="E23" s="79" t="s">
        <v>80</v>
      </c>
      <c r="F23" s="79" t="s">
        <v>101</v>
      </c>
    </row>
    <row r="24" spans="1:6" hidden="1" x14ac:dyDescent="0.35">
      <c r="A24" t="s">
        <v>82</v>
      </c>
      <c r="B24" s="74" t="s">
        <v>12</v>
      </c>
      <c r="C24" s="75">
        <v>46082</v>
      </c>
      <c r="D24" s="76" t="s">
        <v>94</v>
      </c>
      <c r="E24" s="76" t="s">
        <v>78</v>
      </c>
      <c r="F24" s="76" t="s">
        <v>101</v>
      </c>
    </row>
    <row r="25" spans="1:6" hidden="1" x14ac:dyDescent="0.35">
      <c r="A25" t="s">
        <v>83</v>
      </c>
      <c r="B25" s="77" t="s">
        <v>12</v>
      </c>
      <c r="C25" s="78">
        <v>46593</v>
      </c>
      <c r="D25" s="79" t="s">
        <v>94</v>
      </c>
      <c r="E25" s="79" t="s">
        <v>78</v>
      </c>
      <c r="F25" s="79" t="s">
        <v>101</v>
      </c>
    </row>
    <row r="26" spans="1:6" hidden="1" x14ac:dyDescent="0.35">
      <c r="A26" t="s">
        <v>84</v>
      </c>
      <c r="B26" s="74" t="s">
        <v>12</v>
      </c>
      <c r="C26" s="75">
        <v>47178</v>
      </c>
      <c r="D26" s="76" t="s">
        <v>94</v>
      </c>
      <c r="E26" s="76" t="s">
        <v>78</v>
      </c>
      <c r="F26" s="76" t="s">
        <v>101</v>
      </c>
    </row>
    <row r="27" spans="1:6" hidden="1" x14ac:dyDescent="0.35">
      <c r="A27" t="s">
        <v>85</v>
      </c>
      <c r="B27" s="77" t="s">
        <v>12</v>
      </c>
      <c r="C27" s="78">
        <v>47689</v>
      </c>
      <c r="D27" s="79" t="s">
        <v>94</v>
      </c>
      <c r="E27" s="79" t="s">
        <v>78</v>
      </c>
      <c r="F27" s="79" t="s">
        <v>101</v>
      </c>
    </row>
    <row r="28" spans="1:6" hidden="1" x14ac:dyDescent="0.35">
      <c r="A28" t="s">
        <v>86</v>
      </c>
      <c r="B28" s="74" t="s">
        <v>12</v>
      </c>
      <c r="C28" s="75">
        <v>48054</v>
      </c>
      <c r="D28" s="76" t="s">
        <v>94</v>
      </c>
      <c r="E28" s="76" t="s">
        <v>78</v>
      </c>
      <c r="F28" s="76" t="s">
        <v>101</v>
      </c>
    </row>
    <row r="29" spans="1:6" hidden="1" x14ac:dyDescent="0.35">
      <c r="A29" t="s">
        <v>87</v>
      </c>
      <c r="B29" s="77" t="s">
        <v>12</v>
      </c>
      <c r="C29" s="78">
        <v>48420</v>
      </c>
      <c r="D29" s="79" t="s">
        <v>94</v>
      </c>
      <c r="E29" s="79" t="s">
        <v>78</v>
      </c>
      <c r="F29" s="79" t="s">
        <v>101</v>
      </c>
    </row>
    <row r="30" spans="1:6" hidden="1" x14ac:dyDescent="0.35">
      <c r="A30" t="s">
        <v>88</v>
      </c>
      <c r="B30" s="74" t="s">
        <v>12</v>
      </c>
      <c r="C30" s="75">
        <v>49150</v>
      </c>
      <c r="D30" s="76" t="s">
        <v>94</v>
      </c>
      <c r="E30" s="76" t="s">
        <v>78</v>
      </c>
      <c r="F30" s="76" t="s">
        <v>101</v>
      </c>
    </row>
    <row r="31" spans="1:6" hidden="1" x14ac:dyDescent="0.35">
      <c r="A31" t="s">
        <v>9</v>
      </c>
      <c r="B31" s="77" t="s">
        <v>12</v>
      </c>
      <c r="C31" s="78">
        <v>49881</v>
      </c>
      <c r="D31" s="79" t="s">
        <v>94</v>
      </c>
      <c r="E31" s="79" t="s">
        <v>78</v>
      </c>
      <c r="F31" s="79" t="s">
        <v>102</v>
      </c>
    </row>
    <row r="32" spans="1:6" hidden="1" x14ac:dyDescent="0.35">
      <c r="A32" t="s">
        <v>89</v>
      </c>
      <c r="B32" s="74" t="s">
        <v>12</v>
      </c>
      <c r="C32" s="75">
        <v>50611</v>
      </c>
      <c r="D32" s="76" t="s">
        <v>94</v>
      </c>
      <c r="E32" s="76" t="s">
        <v>78</v>
      </c>
      <c r="F32" s="76" t="s">
        <v>101</v>
      </c>
    </row>
    <row r="33" spans="1:6" hidden="1" x14ac:dyDescent="0.35">
      <c r="A33" t="s">
        <v>90</v>
      </c>
      <c r="B33" s="77" t="s">
        <v>12</v>
      </c>
      <c r="C33" s="78">
        <v>51342</v>
      </c>
      <c r="D33" s="79" t="s">
        <v>94</v>
      </c>
      <c r="E33" s="79" t="s">
        <v>78</v>
      </c>
      <c r="F33" s="79" t="s">
        <v>101</v>
      </c>
    </row>
    <row r="34" spans="1:6" hidden="1" x14ac:dyDescent="0.35">
      <c r="A34" t="s">
        <v>91</v>
      </c>
      <c r="B34" s="74" t="s">
        <v>12</v>
      </c>
      <c r="C34" s="75">
        <v>52437</v>
      </c>
      <c r="D34" s="76" t="s">
        <v>94</v>
      </c>
      <c r="E34" s="76" t="s">
        <v>78</v>
      </c>
      <c r="F34" s="76" t="s">
        <v>101</v>
      </c>
    </row>
    <row r="35" spans="1:6" hidden="1" x14ac:dyDescent="0.35">
      <c r="A35" t="s">
        <v>92</v>
      </c>
      <c r="B35" s="77" t="s">
        <v>12</v>
      </c>
      <c r="C35" s="78">
        <v>53898</v>
      </c>
      <c r="D35" s="79" t="s">
        <v>94</v>
      </c>
      <c r="E35" s="79" t="s">
        <v>78</v>
      </c>
      <c r="F35" s="79" t="s">
        <v>101</v>
      </c>
    </row>
    <row r="36" spans="1:6" hidden="1" x14ac:dyDescent="0.35">
      <c r="A36" t="s">
        <v>93</v>
      </c>
      <c r="B36" s="74" t="s">
        <v>12</v>
      </c>
      <c r="C36" s="75">
        <v>56090</v>
      </c>
      <c r="D36" s="76" t="s">
        <v>94</v>
      </c>
      <c r="E36" s="76" t="s">
        <v>78</v>
      </c>
      <c r="F36" s="76" t="s">
        <v>101</v>
      </c>
    </row>
    <row r="37" spans="1:6" hidden="1" x14ac:dyDescent="0.35">
      <c r="A37" t="s">
        <v>97</v>
      </c>
      <c r="B37" s="77" t="s">
        <v>10</v>
      </c>
      <c r="C37" s="78">
        <v>48684</v>
      </c>
      <c r="D37" s="79" t="s">
        <v>95</v>
      </c>
      <c r="E37" s="79" t="s">
        <v>96</v>
      </c>
      <c r="F37" s="79" t="s">
        <v>102</v>
      </c>
    </row>
    <row r="38" spans="1:6" hidden="1" x14ac:dyDescent="0.35">
      <c r="A38" t="s">
        <v>98</v>
      </c>
      <c r="B38" s="74" t="s">
        <v>10</v>
      </c>
      <c r="C38" s="75">
        <v>53432</v>
      </c>
      <c r="D38" s="76" t="s">
        <v>95</v>
      </c>
      <c r="E38" s="76" t="s">
        <v>96</v>
      </c>
      <c r="F38" s="76" t="s">
        <v>102</v>
      </c>
    </row>
    <row r="39" spans="1:6" hidden="1" x14ac:dyDescent="0.35">
      <c r="A39" t="s">
        <v>99</v>
      </c>
      <c r="B39" s="77" t="s">
        <v>10</v>
      </c>
      <c r="C39" s="78">
        <v>46127</v>
      </c>
      <c r="D39" s="79" t="s">
        <v>95</v>
      </c>
      <c r="E39" s="79" t="s">
        <v>96</v>
      </c>
      <c r="F39" s="79" t="s">
        <v>102</v>
      </c>
    </row>
    <row r="40" spans="1:6" hidden="1" x14ac:dyDescent="0.35">
      <c r="A40" t="s">
        <v>7</v>
      </c>
      <c r="B40" s="62" t="s">
        <v>10</v>
      </c>
      <c r="C40" s="80">
        <v>47588</v>
      </c>
      <c r="D40" s="63" t="s">
        <v>95</v>
      </c>
      <c r="E40" s="63" t="s">
        <v>96</v>
      </c>
      <c r="F40" s="63" t="s">
        <v>102</v>
      </c>
    </row>
  </sheetData>
  <phoneticPr fontId="12" type="noConversion"/>
  <dataValidations count="1">
    <dataValidation type="list" allowBlank="1" showInputMessage="1" showErrorMessage="1" sqref="F2:F40" xr:uid="{EFA93751-4665-4D60-83A2-26D9FE3E556C}">
      <formula1>"YES,NO"</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9AE1CD-B2BA-48C3-AD4F-29C65EEF90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13</vt:i4>
      </vt:variant>
    </vt:vector>
  </HeadingPairs>
  <TitlesOfParts>
    <vt:vector size="13" baseType="lpstr">
      <vt:lpstr>MENU</vt:lpstr>
      <vt:lpstr>Problem 1</vt:lpstr>
      <vt:lpstr>Solution 1</vt:lpstr>
      <vt:lpstr>coefficient</vt:lpstr>
      <vt:lpstr>Problem 2</vt:lpstr>
      <vt:lpstr>Solution 2</vt:lpstr>
      <vt:lpstr>Problem 3</vt:lpstr>
      <vt:lpstr>Solution 3</vt:lpstr>
      <vt:lpstr>Problem 4</vt:lpstr>
      <vt:lpstr>Solution 4</vt:lpstr>
      <vt:lpstr>coefficient2</vt:lpstr>
      <vt:lpstr>Daňová vsuvka</vt:lpstr>
      <vt:lpstr>Bonds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Píša</dc:creator>
  <cp:lastModifiedBy>Jan Píša</cp:lastModifiedBy>
  <dcterms:created xsi:type="dcterms:W3CDTF">2026-03-09T11:44:04Z</dcterms:created>
  <dcterms:modified xsi:type="dcterms:W3CDTF">2026-08-13T11:53:56Z</dcterms:modified>
</cp:coreProperties>
</file>